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valiação Requisitos Individuai" sheetId="1" r:id="rId5"/>
    <sheet state="visible" name="Avaliação Personas" sheetId="2" r:id="rId6"/>
  </sheets>
  <definedNames/>
  <calcPr/>
</workbook>
</file>

<file path=xl/sharedStrings.xml><?xml version="1.0" encoding="utf-8"?>
<sst xmlns="http://schemas.openxmlformats.org/spreadsheetml/2006/main" count="193" uniqueCount="106">
  <si>
    <t>Total de Experimentos</t>
  </si>
  <si>
    <t>Avaliação dos Requisitos Individuais Gerados</t>
  </si>
  <si>
    <t>Taxa de Sucesso (Formato)</t>
  </si>
  <si>
    <t>Média de Alucinações</t>
  </si>
  <si>
    <t>Stakeholder</t>
  </si>
  <si>
    <t>Repetição</t>
  </si>
  <si>
    <t>Saída do Modelo</t>
  </si>
  <si>
    <t>Avaliação Geral</t>
  </si>
  <si>
    <t>Atendeu ao Formato</t>
  </si>
  <si>
    <t>Req. Funcionais</t>
  </si>
  <si>
    <t>Req. Não Funcionais</t>
  </si>
  <si>
    <t>Alucinações</t>
  </si>
  <si>
    <t>Observações</t>
  </si>
  <si>
    <t>Inteligibilidade (%)</t>
  </si>
  <si>
    <t>Necessidade</t>
  </si>
  <si>
    <t>Viabilidade</t>
  </si>
  <si>
    <t>Estabilidade</t>
  </si>
  <si>
    <t>Testatabilidade</t>
  </si>
  <si>
    <t>Gerente de Projetos</t>
  </si>
  <si>
    <t xml:space="preserve">### Requisitos Funcionais (RF)
*   **RF01 - Gerenciamento de Projetos e Squads:** O sistema deve permitir a criação, edição e visualização de projetos, possibilitando a associação de clientes, definição de escopo, status do projeto e a alocação de membros da &lt;Empresa Júnior&gt; aos respectivos squads de desenvolvimento.
*   **RF02 - Planejamento e Controle de Sprints:** O sistema deve permitir que o Gerente de Projetos crie e configure Sprints, definindo datas de início e fim, metas da sprint e associando as tarefas que farão parte do período planejado.
*   **RF03 - Quadro Kanban de Tarefas:** O sistema deve disponibilizar um painel visual (Kanban) para o acompanhamento do fluxo de trabalho das tarefas, permitindo a transição de status (ex: Backlog, Em Desenvolvimento, Teste/Validação, Concluído) por meio de arrastar e soltar (drag-and-drop).
*   **RF04 - Detalhamento e Atribuição de Tarefas:** O sistema deve permitir a criação de tarefas detalhadas, contendo título, descrição enriquecida, responsáveis, prazos de entrega (deadlines), etiquetas de categorização (tags) e nível de prioridade.
*   **RF05 - Registro de Tempo (Time Tracking):** O sistema deve possuir uma funcionalidade integrada para que os membros do squad registrem o tempo dedicado a cada tarefa (cronômetro ou lançamento manual), gerando relatórios automáticos de esforço e produtividade por projeto.
*   **RF06 - Central de Documentos do Projeto:** O sistema deve disponibilizar um repositório centralizado para armazenamento, upload e organização em pastas de arquivos e entregáveis do projeto (como pesquisas de UX, protótipos e especificações técnicas).
*   **RF07 - Editor de Documentação e Atas de Reunião:** O sistema deve possuir um editor de texto colaborativo interno para a criação direta de atas de reuniões, especificações de requisitos e documentações de processos, eliminando a dependência de editores externos.
*   **RF08 - Registro de Decisões do Cliente:** O sistema deve fornecer uma funcionalidade específica para registrar decisões formais acordadas com o cliente, contendo data, descrição da decisão, participantes envolvidos e anexos comprobatórios, gerando um histórico imutável.
*   **RF09 - Agendamento e Gestão de Reuniões:** O sistema deve permitir o agendamento de reuniões com a equipe e clientes, permitindo definir pauta, enviar convites aos participantes e vincular diretamente a ata da reunião ao evento criado.
*   **RF10 - Busca Global Avançada:** O sistema deve disponibilizar uma barra de pesquisa global que permita localizar rapidamente tarefas, documentos, atas de reuniões, decisões e membros utilizando palavras-chave e filtros (por projeto, data, autor ou tipo de arquivo).
*   **RF11 - Controle de Acesso Baseado em Perfis (RBAC):** O sistema deve permitir a definição de permissões de acesso com base no perfil do usuário (ex: Gerente de Projetos, Membro do Squad, Cliente), restringindo a visualização e edição de informações sensíveis de acordo com o papel desempenhado.
*   **RF12 - Integração e Importação de Dados:** O sistema deve permitir a importação de dados e a integração com ferramentas externas de mercado (como Trello, Notion e Google Drive) para facilitar a migração do histórico de projetos anteriores.
---
### Requisitos Não Funcionais (RNF)
*   **RNF01 - Usabilidade e Interface Intuitiva:** O sistema deve apresentar uma interface limpa, simples e de fácil usabilidade, inspirada em ferramentas consolidadas de mercado (como Trello e Notion), visando reduzir a curva de aprendizado e a sobrecarga cognitiva do usuário.
*   **RNF02 - Compatibilidade e Multiplataforma:** O sistema deve ser acessível via web e totalmente responsivo, garantindo pleno funcionamento em navegadores modernos (Chrome, Firefox, Safari, Edge) em computadores pessoais, corporativos e dispositivos móveis.
*   **RNF03 - Desempenho e Tempo de Resposta:** O sistema deve carregar painéis de controle (dashboards) e retornar resultados de pesquisas globais em um tempo máximo de 2 segundos, mesmo sob condições normais de conexão de internet.
*   **RNF04 - Preservação de Dados e Backups:** O sistema deve realizar backups automáticos e diários de todo o banco de dados e arquivos armazenados, garantindo a integridade e a recuperação de desastres para evitar a perda do histórico de conhecimento da organização.
*   **RNF05 - Rastreabilidade e Trilha de Auditoria:** O sistema deve manter um registro histórico (log) de todas as alterações realizadas em documentos, tarefas e decisões do projeto, identificando o usuário responsável pela alteração, data e hora da modificação.
</t>
  </si>
  <si>
    <t>Bom</t>
  </si>
  <si>
    <t>Sim</t>
  </si>
  <si>
    <t>Histórico imutável pode ser um pouco demais</t>
  </si>
  <si>
    <t xml:space="preserve">### Requisitos Funcionais (RF)
*   **RF01 - Centralização de Projetos:** O sistema deve permitir criar, editar, visualizar e arquivar projetos, categorizando-os de acordo com as etapas do ciclo de vida da &lt;Empresa Júnior&gt; (Pesquisa, Prototipação, Desenvolvimento, Entrega e Suporte).
*   **RF02 - Planejamento de Sprints:** O sistema deve permitir que o Gerente de Projetos crie e configure sprints, definindo metas, data de início, data de término e associando as tarefas correspondentes.
*   **RF03 - Quadro Kanban:** O sistema deve fornecer uma visualização de tarefas em formato Kanban, permitindo a movimentação de cartões entre colunas customizáveis (ex: A Fazer, Em Desenvolvimento, Revisão, Concluído).
*   **RF04 - Atribuição de Tarefas:** O sistema deve permitir associar tarefas a um ou mais membros do squad do projeto, definindo prazos de entrega, nível de prioridade e descrição da demanda.
*   **RF05 - Alocação de Squads:** O sistema deve permitir ao Gerente de Projetos montar equipes de projetos (squads), vinculando membros específicos a cada projeto e definindo seus papéis (ex: UX Researcher, Prototipador, Desenvolvedor).
*   **RF06 - Registro de Atas e Reuniões:** O sistema deve disponibilizar um módulo para agendamento e registro de atas de reuniões, contendo pauta, participantes, decisões tomadas e tarefas derivadas.
*   **RF07 - Registro de Decisões com Clientes:** O sistema deve possuir uma funcionalidade específica para registrar decisões formais acordadas com os clientes, com campo de data, descrição, responsáveis e histórico de alterações para fins de rastreabilidade.
*   **RF08 - Repositório Central de Documentos:** O sistema deve permitir o upload, organização em pastas e compartilhamento de arquivos e documentos (como pesquisas de UX, links de protótipos e manuais de entrega) diretamente na página do projeto.
*   **RF09 - Mecanismo de Busca Unificada:** O sistema deve fornecer uma barra de pesquisa global que permita localizar rapidamente tarefas, atas de reuniões, decisões registradas e documentos por meio de palavras-chave.
*   **RF10 - Apontamento de Horas (Time Tracking):** O sistema deve permitir que os membros do squad registrem as horas trabalhadas em cada tarefa, fornecendo ao Gerente de Projetos um relatório consolidado de horas por membro e por projeto.
*   **RF11 - Integração com Ferramentas Externas:** O sistema deve permitir a integração ou incorporação de links ativos de ferramentas externas (como Google Drive, Figma e Notion) dentro do painel de cada projeto.
*   **RF12 - Histórico do Projeto:** O sistema deve manter um log de atividades permanente e imutável que registre a evolução do projeto, incluindo mudanças de status de tarefas, novos membros adicionados e alterações em documentos.
### Requisitos Não Funcionais (RNF)
*   **RNF01 - Usabilidade e Interface:** O sistema deve possuir uma interface simples, limpa e intuitiva, inspirada em ferramentas consolidadas de mercado (como Trello e Notion), com tempo de curva de aprendizado inferior a 2 horas para novos usuários.
*   **RNF02 - Controle de Acesso Baseado em Perfis (RBAC):** O sistema deve garantir que o acesso às informações seja restrito conforme o perfil do usuário (ex: Gerente de Projetos tem acesso total; membros do squad acessam apenas seus projetos; clientes visualizam apenas informações autorizadas).
*   **RNF03 - Multiplataforma e Portabilidade:** O sistema deve ser uma aplicação web responsiva, acessível e funcional em navegadores modernos (Chrome, Firefox, Safari, Edge) tanto em computadores pessoais quanto corporativos, independentemente do sistema operacional (Windows, macOS, Linux).
*   **RNF04 - Desempenho de Busca:** O mecanismo de busca unificada deve retornar os resultados em um tempo máximo de 2 segundos para qualquer consulta no banco de dados.
*   **RNF05 - Disponibilidade:** O sistema deve apresentar uma disponibilidade mínima de 99,5% (Uptime), garantindo que os gerentes e squads possam registrar e consultar dados durante o horário comercial e de desenvolvimento diário.
*   **RNF06 - Preservação e Backup de Dados:** O sistema deve realizar backups diários automáticos de toda a base de dados de projetos, documentos e decisões, garantindo a integridade e a prevenção contra perda de histórico organizacional.
</t>
  </si>
  <si>
    <t>Mistura dois requisitos no RF11, links externos e integrações e RF12 log imutável talvez seja um pouco demais</t>
  </si>
  <si>
    <t>### Requisitos Funcionais (RF)
* **RF01 - Gerenciamento do Ciclo de Vida do Projeto:** O sistema deve permitir o cadastro, monitoramento e controle das etapas do ciclo de vida dos projetos da &lt;Empresa Júnior&gt; (Pesquisa, Prototipação, Desenvolvimento, Entrega e Suporte).
* **RF02 - Painel de Controle Unificado (Dashboard):** O sistema deve disponibilizar um dashboard centralizado que apresente o status do projeto, cronograma, distribuição de tarefas e indicadores de produtividade do squad em tempo real.
* **RF03 - Planejamento e Acompanhamento de Sprints:** O sistema deve permitir a criação e o gerenciamento de sprints, possibilitando definir metas, prazos, estimativas de esforço e associação de tarefas.
* **RF04 - Quadro Kanban de Tarefas:** O sistema deve fornecer um quadro visual interativo (estilo Kanban) para a criação, atribuição, categorização e movimentação de tarefas entre os membros do squad.
* **RF05 - Gestão de Squads:** O sistema deve permitir a alocação de membros da &lt;Empresa Júnior&gt; em squads específicos de projetos, com a definição de seus respectivos papéis e responsabilidades no fluxo de trabalho.
* **RF06 - Registro de Horas (Time Tracking):** O sistema deve possuir uma funcionalidade para que os membros do squad registrem as horas trabalhadas em cada tarefa, permitindo ao Gerente de Projetos extrair relatórios de produtividade.
* **RF07 - Central de Documentação e Repositório:** O sistema deve permitir a criação, edição e armazenamento de documentos de texto diretamente na plataforma, utilizando templates padronizados para cada fase do projeto.
* **RF08 - Registro de Atas de Reunião:** O sistema deve possuir um módulo para o registro e armazenamento de atas de reuniões, permitindo associar participantes, pautas discutidas e planos de ação ao projeto.
* **RF09 - Registro de Decisões do Cliente:** O sistema deve fornecer uma funcionalidade específica para registrar decisões formais e alinhamentos acordados com os clientes, garantindo a rastreabilidade das aprovações.
* **RF10 - Busca Global Avançada:** O sistema deve disponibilizar uma ferramenta de busca que permita localizar de forma rápida tarefas, documentos, atas de reunião e decisões registradas através de palavras-chave, tags, datas ou autores.
* **RF11 - Histórico de Alterações (Versionamento):** O sistema deve manter um histórico de auditoria e versionamento de todos os documentos, tarefas e decisões modificadas, identificando o autor e a data da alteração.
* **RF12 - Integração com Ferramentas Externas:** O sistema deve permitir a integração e sincronização de dados com plataformas externas (como Google Drive, Notion, Trello e Clockify) ou oferecer módulos equivalentes que as substituam completamente.
### Requisitos Não Funcionais (RNF)
* **RNF01 - Usabilidade e Interface:** O sistema deve possuir uma interface gráfica simples, intuitiva e de fácil adoção, projetada para minimizar a sobrecarga cognitiva do usuário no uso diário.
* **RNF02 - Compatibilidade Multiplataforma:** O sistema deve ser acessível via navegadores web modernos e ser totalmente funcional em computadores pessoais, corporativos e dispositivos institucionais.
* **RNF03 - Controle de Acesso Baseado em Perfis (RBAC):** O sistema deve restringir o acesso a informações e funcionalidades com base no perfil do usuário (ex: Gerente de Projetos, Membro do Squad, Cliente), garantindo a segurança dos dados.
* **RNF04 - Desempenho na Busca:** O mecanismo de busca global do sistema deve retornar resultados em um tempo máximo de 2 segundos, mesmo em uma base de dados com alto volume de documentos históricos.
* **RNF05 - Disponibilidade:** O sistema deve apresentar uma taxa de disponibilidade (uptime) mínima de 99,5% durante os dias úteis, garantindo o suporte às operações diárias da &lt;Empresa Júnior&gt;.
* **RNF06 - Segurança e Compartilhamento de Dados:** O sistema deve garantir que o compartilhamento de documentos e informações estratégicas seja feito de forma segura, permitindo a definição de permissões de leitura e escrita por usuário ou squad.</t>
  </si>
  <si>
    <t>Regular</t>
  </si>
  <si>
    <t>RF12 mistura dois requisitos, criar funcionalidade e integrar com ferramenta externa, coloca segurança como requisito funcional em RF12. além de configuração de permissões estar em RNF</t>
  </si>
  <si>
    <t xml:space="preserve">### Requisitos Funcionais (RF)
*   **RF01 - Centralização de Projetos e Squads:** O sistema deve permitir o cadastro, edição e visualização de projetos, associando a cada um deles um Gerente de Projetos e um squad de desenvolvimento (membros da equipe com papéis definidos).
*   **RF02 - Planejamento e Gestão de Sprints (Kanban):** O sistema deve fornecer um quadro visual interativo (estilo Kanban) para planejamento de sprints, permitindo a criação, atribuição, movimentação (arrastar e soltar) e definição de prazos para tarefas.
*   **RF03 - Registro de Demandas de Clientes:** O sistema deve permitir o cadastro e a estruturação de demandas e requisitos enviados pelos clientes, associando-os diretamente ao escopo do projeto correspondente.
*   **RF04 - Gestão do Conhecimento e Documentação (Wiki):** O sistema deve possuir um editor de texto colaborativo integrado para criação de documentos, metodologias das etapas do projeto (Pesquisa UX, Prototipação, Desenvolvimento e Entrega) e centralização de informações, similar ao Notion.
*   **RF05 - Registro de Reuniões e Atas:** O sistema deve permitir o agendamento, registro e armazenamento de atas de reuniões, listando participantes, pauta discutida e decisões tomadas.
*   **RF06 - Registro e Rastreabilidade de Decisões:** O sistema deve disponibilizar um módulo específico para registrar decisões estratégicas acordadas com o cliente, permitindo vincular a decisão a uma tarefa ou documento e mantendo um histórico imutável de alterações.
*   **RF07 - Monitoramento de Tempo (Time Tracking):** O sistema deve permitir que os membros do squad registrem as horas dedicadas a cada tarefa (manualmente ou via cronômetro integrado) e gerar relatórios de produtividade por membro e por projeto.
*   **RF08 - Repositório Central de Arquivos:** O sistema deve permitir o upload, organização em pastas e download de arquivos e entregáveis do projeto (como relatórios de pesquisa, links de protótipos e manuais de suporte).
*   **RF09 - Busca Global e Filtros Avançados:** O sistema deve fornecer uma barra de pesquisa global capaz de localizar tarefas, documentos, atas de reuniões, decisões e arquivos por meio de palavras-chave, filtros de data, projeto ou responsável.
*   **RF10 - Arquivamento e Histórico de Projetos:** O sistema deve permitir o arquivamento de projetos finalizados, garantindo a preservação integral de todo o histórico de tarefas, decisões e documentos para consultas futuras de novos membros.
*   **RF11 - Integração com Ferramentas Externas:** O sistema deve oferecer integração (via API ou importação de dados) com as ferramentas Google Drive, Trello, Notion e Clockify, permitindo a sincronização de arquivos, tarefas, documentos e horas.
*   **RF12 - Controle de Acesso Baseado em Papéis (RBAC):** O sistema deve permitir a configuração de permissões de acesso diferenciadas para administradores, gerentes de projetos, membros do squad e clientes externos.
### Requisitos Não Funcionais (RNF)
*   **RNF01 - Multiplataforma e Acesso Web:** O sistema deve ser baseado na web e possuir interface responsiva, garantindo compatibilidade e usabilidade em computadores pessoais, institucionais e dispositivos móveis.
*   **RNF02 - Usabilidade e Facilidade de Adoção:** A interface do usuário deve ser simples, intuitiva e seguir padrões modernos de design de interação, visando reduzir a curva de aprendizado de usuários habituados a ferramentas como Trello e Notion.
*   **RNF03 - Desempenho da Busca:** O mecanismo de busca global do sistema deve retornar resultados relevantes em um tempo máximo de 2 segundos, mesmo sob grande volume de dados armazenados.
*   **RNF04 - Preservação e Integridade de Dados:** O sistema deve realizar backups automatizados diários de todo o banco de dados e arquivos anexos para evitar a perda de histórico de projetos e garantir a continuidade do conhecimento.
*   **RNF05 - Segurança da Informação:** O sistema deve utilizar criptografia para o armazenamento de senhas e dados sensíveis, além de garantir que clientes externos visualizem apenas as informações do projeto às quais foram explicitamente autorizados.
*   **RNF06 - Disponibilidade:** O sistema deve estar disponível para uso diário contínuo, com uma taxa de disponibilidade mínima de 99,5% (uptime).
</t>
  </si>
  <si>
    <t>Excelente</t>
  </si>
  <si>
    <t xml:space="preserve">### Requisitos Funcionais (RF)
*   **RF01 - Centralização de Projetos (Dashboard Unificado):** O sistema deve fornecer uma visão consolidada e centralizada de cada projeto, exibindo em uma única tela o status atual, o progresso da sprint, os membros alocados, os documentos recentes e os próximos marcos (milestones).
*   **RF02 - Gestão de Sprints e Backlog:** O sistema deve permitir que o Gerente de Projetos crie, planeje e gerencie sprints, incluindo a criação de um backlog de produto, estimativa de esforço, priorização de demandas e acompanhamento visual do progresso por meio de um quadro Kanban.
*   **RF03 - Distribuição e Acompanhamento de Tarefas:** O sistema deve permitir a criação de tarefas, atribuição de responsáveis (membros do squad), definição de prazos, níveis de prioridade e checklist de subtarefas.
*   **RF04 - Registro de Tempo de Execução (Timesheet):** O sistema deve possuir uma funcionalidade integrada para registrar o tempo gasto pelos membros do squad em cada tarefa (equivalente ao Clockify), permitindo a extração de relatórios de produtividade.
*   **RF05 - Alocação e Gestão de Squads:** O sistema deve permitir ao Gerente de Projetos alocar membros da &lt;Empresa Júnior&gt; a squads específicos de projetos, definindo seus papéis (Ex: Desenvolvedor, Designer, Líder Técnico).
*   **RF06 - Repositório de Documentos e Gestão do Conhecimento:** O sistema deve permitir o upload, organização em pastas e edição de documentos do projeto (pesquisas de UX, especificações, protótipos e manuais de suporte), com suporte a controle de versão para evitar perda de histórico.
*   **RF07 - Registro de Reuniões e Atas:** O sistema deve disponibilizar um módulo para agendamento de reuniões e preenchimento de atas (atas de reunião), associando-as diretamente ao projeto correspondente.
*   **RF08 - Registro de Decisões do Cliente (Rastreabilidade):** O sistema deve possuir um log específico para registrar decisões estratégicas e aprovações formais realizadas junto ao cliente, garantindo um histórico imutável para futuras consultas.
*   **RF09 - Mapeamento do Ciclo de Vida do Projeto (Fases da &lt;Empresa Júnior&gt;):** O sistema deve permitir categorizar e acompanhar o progresso do projeto de acordo com as etapas de entrega da &lt;Empresa Júnior&gt;: Pesquisa, Prototipação, Desenvolvimento, e Entrega e Suporte.
*   **RF10 - Busca Global Avançada:** O sistema deve fornecer uma barra de pesquisa global que permita localizar rapidamente tarefas, atas de reuniões, decisões homologadas e documentos anexos em qualquer projeto ativo ou arquivado.
*   **RF11 - Controle de Acesso Baseado em Perfis (RBAC):** O sistema deve permitir a definição de permissões de acesso diferenciadas (Ex: Gerente de Projetos, Membro do Squad, Cliente, Administrador), garantindo que clientes visualizem apenas informações autorizadas.
*   **RF12 - Integração com Ferramentas Externas:** O sistema deve permitir a integração ou importação de dados de ferramentas legadas de mercado (como Notion, Trello, Google Drive e Clockify) para facilitar a migração de dados de projetos em andamento.
### Requisitos Não Funcionais (RNF)
*   **RNF01 - Usabilidade e Facilidade de Adoção:** O sistema deve possuir uma interface simples, intuitiva e de fácil navegação, projetada para minimizar o tempo de aprendizado e reduzir a sobrecarga cognitiva do usuário ao centralizar múltiplas ferramentas.
*   **RNF02 - Compatibilidade Multiplataforma (Responsividade):** O sistema deve ser uma aplicação web responsiva, compatível com os principais navegadores do mercado (Chrome, Firefox, Safari, Edge) e otimizada para uso em computadores pessoais e corporativos de diferentes sistemas operacionais (Windows, macOS e Linux).
*   **RNF03 - Desempenho de Busca:** A ferramenta de busca global deve retornar resultados relevantes em menos de 2 segundos, mesmo em bases de dados com grande volume de documentos e históricos acumulados.
*   **RNF04 - Confiabilidade e Salvamento Automático:** O sistema deve possuir um mecanismo de salvamento automático para a edição de documentos, atas de reuniões e descrições de tarefas, evitando a perda de dados por falhas de conexão ou fechamento acidental da aba.
*   **RNF05 - Segurança e Privacidade dos Dados:** O sistema deve garantir a criptografia dos dados em trânsito (HTTPS) e em repouso, protegendo as informações estratégicas da &lt;Empresa Júnior&gt; e os dados confidenciais dos clientes.
*   **RNF06 - Disponibilidade:** O sistema deve estar disponível para uso diário contínuo com uma taxa de disponibilidade de, no mínimo, 99,5% (uptime).
*   **RNF07 - Integridade do Histórico (Backup):** O sistema deve realizar backups diários automatizados e garantir que os históricos de decisões do cliente e encerramento de projetos não possam ser apagados ou alterados retroativamente sem autorização especial do administrador.
</t>
  </si>
  <si>
    <t>Histórico imutável pode ser um pouco demais, mas traz a maior cobertura da persona</t>
  </si>
  <si>
    <t>Assessora de Vendas</t>
  </si>
  <si>
    <t>### Requisitos Funcionais (RF)
*   **RF01 - Gestão de Leads e Contatos:** O sistema deve permitir o cadastro, edição, visualização e exclusão de leads, contendo informações de contato, origem da prospecção, responsável pelo atendimento e histórico detalhado de interações.
*   **RF02 - Pipeline de Vendas Visual:** O sistema deve disponibilizar uma visualização em formato de funil de vendas (estilo Kanban) para acompanhar o progresso dos leads pelas etapas de Primeiro Contato, Diagnóstico, Proposta e Negociação.
*   **RF03 - Registro Estruturado de Reuniões:** O sistema deve permitir o registro e armazenamento de atas de reuniões diretamente no perfil do lead correspondente, incluindo data, participantes, decisões tomadas e tarefas derivadas.
*   **RF04 - Repositório Central de Propostas e Contratos:** O sistema deve permitir o upload, categorização e armazenamento de propostas comerciais e contratos associados a cada cliente ou lead.
*   **RF05 - Busca Avançada de Documentos Históricos:** O sistema deve fornecer um mecanismo de busca rápida e avançada que permita filtrar e recuperar propostas antigas, atas e contratos por meio de palavras-chave, tags, nome do cliente ou intervalo de datas.
*   **RF06 - Versionamento de Documentos:** O sistema deve controlar o versionamento de propostas comerciais e contratos anexados, registrando o histórico de alterações, a data da modificação e o membro responsável.
*   **RF07 - Automação de Fluxo de Trabalho Comercial:** O sistema deve automatizar tarefas repetitivas do processo de vendas, como a alteração automática do status do lead no funil ao anexar uma proposta comercial ou ao agendar uma reunião de diagnóstico.
*   **RF08 - Integração Vendas-Projetos:** O sistema deve permitir a conversão automática de um lead ganho em um novo projeto, transferindo o histórico de negociação, escopo aprovado e documentos para o módulo de gerenciamento de projetos (etapas de Pesquisa, Prototipação e Desenvolvimento).
*   **RF09 - Painel de Desempenho Comercial (Dashboard):** O sistema deve gerar gráficos e relatórios em tempo real com indicadores de desempenho (KPIs), incluindo taxa de conversão do funil, tempo médio de venda, quantidade de leads ativos e progresso em relação às metas anuais da &lt;Empresa Júnior&gt;.
*   **RF10 - Sistema de Alertas e Notificações:** O sistema deve enviar notificações internas (alertas no sistema e e-mails) para os assessores de vendas sobre tarefas pendentes, reuniões agendadas, leads sem interação recente ou propostas que necessitam de acompanhamento (follow-up).
*   **RF11 - Registro de Auditoria (Logs):** O sistema deve registrar um log detalhado de todas as ações críticas realizadas sobre os dados de clientes, propostas e contratos, identificando o usuário que realizou a operação, a data e a hora.
### Requisitos Não Funcionais (RNF)
*   **RNF01 - Controle de Acesso Baseado em Perfis (RBAC):** O sistema deve restringir o acesso a informações confidenciais (dados de clientes, faturamento e contratos) por meio de perfis de permissão (ex.: Administrador, Assessor de Vendas, Desenvolvedor).
*   **RNF02 - Segurança e Proteção de Dados:** O sistema deve garantir a proteção dos dados dos clientes em conformidade com as diretrizes da LGPD, utilizando criptografia de dados em repouso e em trânsito (HTTPS/TLS).
*   **RNF03 - Compatibilidade e Acesso Web:** O sistema deve ser acessível via navegadores web modernos (Chrome, Firefox, Safari, Edge) a partir de computadores pessoais (desktops e notebooks) dos membros da &lt;Empresa Júnior&gt;, sem necessidade de instalação de softwares locais.
*   **RNF04 - Desempenho de Busca:** A busca avançada por propostas e documentos históricos deve retornar resultados em um tempo máximo de 2 segundos, mesmo com o crescimento da base de dados.
*   **RNF05 - Disponibilidade:** O sistema deve possuir uma disponibilidade de, no mínimo, 99,5% do tempo, garantindo que a equipe comercial possa acessar as informações continuamente ao longo do ano.
*   **RNF06 - Usabilidade e Interface Responsiva:** A interface do usuário deve ser intuitiva, responsiva e otimizada para minimizar a quantidade de cliques necessários para registrar informações de vendas, visando o aumento da produtividade e a redução do retrabalho.</t>
  </si>
  <si>
    <t>Cobre bem o funil de vendas e contratos, mas focou 100% no comercial e esqueceu o lado "dev" da persona.</t>
  </si>
  <si>
    <t xml:space="preserve">Assessora de Vendas </t>
  </si>
  <si>
    <t>### Requisitos Funcionais (RF)
*   **RF01 - Gestão de Leads e Contatos:** O sistema deve permitir o cadastro, edição, exclusão e visualização de contatos e leads para prospecção, contendo informações como nome, empresa, cargo, e-mail, telefone, origem do lead e histórico de interações.
*   **RF02 - Pipeline de Vendas Visual:** O sistema deve fornecer um quadro visual (estilo Kanban) para o acompanhamento do funil de vendas, permitindo mover os leads entre as etapas de: Prospecção, Primeiro Contato, Diagnóstico, Proposta, Negociação, Fechado (Ganho) e Perdido.
*   **RF03 - Registro e Centralização de Interações:** O sistema deve permitir o registro detalhado de todas as interações realizadas com o lead (reuniões, e-mails, ligações e mensagens), vinculando-as diretamente ao perfil do cliente.
*   **RF04 - Gestão de Atas de Reunião:** O sistema deve permitir a criação, edição e armazenamento de atas de reuniões (como reuniões de diagnóstico e negociação), associando-as ao lead ou projeto correspondente.
*   **RF05 - Repositório de Propostas Comerciais e Contratos:** O sistema deve permitir o upload, armazenamento e organização de propostas comerciais e contratos em formato digital, vinculados ao respectivo cliente.
*   **RF06 - Versionamento de Documentos:** O sistema deve controlar o versionamento de propostas comerciais e contratos anexados, mantendo o histórico de alterações e permitindo a recuperação de versões anteriores.
*   **RF07 - Busca Global e Recuperação de Histórico:** O sistema deve disponibilizar uma ferramenta de busca rápida que permita localizar clientes, propostas antigas, atas de reunião e contratos por meio de palavras-chave, filtros de data, tags ou status.
*   **RF08 - Transição Automática de Vendas para Projetos:** O sistema deve permitir que, ao marcar um lead como "Fechado (Ganho)", as informações comerciais sejam automaticamente convertidas em um novo projeto no módulo de gerenciamento de projetos, preservando todo o histórico coletado.
*   **RF09 - Integração de Artefatos de Design e UX:** O sistema deve permitir a associação de links externos (como protótipos do Figma) e documentos de pesquisa de UX diretamente à pasta do projeto ou do lead.
*   **RF10 - Automação de Tarefas Repetitivas (Follow-up):** O sistema deve permitir a configuração de réguas de automação para disparar e-mails de acompanhamento (follow-up) ou criar tarefas automáticas para os assessores quando um lead permanecer inativo por um período pré-determinado em uma etapa do funil.
*   **RF11 - Central de Notificações e Lembretes:** O sistema deve enviar notificações e lembretes aos assessores de vendas sobre reuniões agendadas, tarefas pendentes e prazos de envio de propostas.
*   **RF12 - Dashboard de Desempenho Comercial:** O sistema deve gerar relatórios visuais e gráficos com indicadores de desempenho (KPIs), incluindo taxa de conversão do funil, tempo médio de fechamento, volume de novos leads e progresso em relação às metas anuais da &lt;Empresa Júnior&gt;.
*   **RF13 - Controle de Acesso Baseado em Perfis (RBAC):** O sistema deve permitir a definição de diferentes níveis de permissão de acesso (ex: Administrador, Assessor de Vendas, Desenvolvedor, Membro de Projeto), restringindo a visualização e edição de dados sensíveis de acordo com a função do usuário.
*   **RF14 - Registro de Auditoria (Logs):** O sistema deve registrar um histórico de auditoria (logs) contendo as ações de criação, alteração e exclusão de dados de clientes, propostas e contratos, identificando o usuário e a data/hora da ação.
### Requisitos Não Funcionais (RNF)
*   **RNF01 - Segurança e Proteção de Dados (LGPD):** O sistema deve criptografar os dados sensíveis dos clientes e contratos em repouso e em trânsito (utilizando HTTPS), garantindo a conformidade com a Lei Geral de Proteção de Dados (LGPD).
*   **RNF02 - Compatibilidade e Responsividade:** O sistema deve ser responsivo e totalmente compatível com os principais navegadores web do mercado (Chrome, Firefox, Safari, Edge), garantindo o acesso adequado a partir de computadores pessoais (desktops e notebooks) dos membros.
*   **RNF03 - Usabilidade e Curva de Aprendizado:** O sistema deve possuir uma interface intuitiva e de fácil usabilidade, permitindo que novos membros da &lt;Empresa Júnior&gt; consigam operá-lo com um treinamento básico de no máximo 2 horas.
*   **RNF04 - Desempenho na Busca:** O mecanismo de busca global por propostas históricas e documentos deve retornar os resultados em um tempo máximo de 2 segundos, mesmo sob alto volume de dados acumulados.
*   **RNF05 - Disponibilidade:** O sistema deve apresentar uma disponibilidade (uptime) mínima de 99,5%, garantindo que os assessores de vendas possam acessar as informações comerciais continuamente ao longo do ano.
*   **RNF06 - Preservação do Conhecimento (Backup):** O sistema deve realizar backups automáticos e diários de todo o banco de dados e arquivos armazenados, garantindo a integridade e a preservação do histórico institucional ao longo das gestões da &lt;Empresa Júnior&gt;.
*   **RNF07 - Escalabilidade:** A arquitetura do sistema deve ser escalável, permitindo o aumento do volume de dados (leads, atas, propostas e projetos) e do número de usuários ativos simultâneos sem degradação do desempenho do software.</t>
  </si>
  <si>
    <t>A mais completa. Cobre o CRM perfeitamente e o RF09 traz a integração com Figma/UX, atendendo o lado front-end.</t>
  </si>
  <si>
    <t>### Requisitos Funcionais (RF)
* **RF01 - Gestão de Leads e Contatos:** O sistema deve permitir o cadastro, edição e exclusão de leads, contendo informações de contato, histórico de interações, origem da prospecção e responsável pelo atendimento.
* **RF02 - Visualização do Pipeline de Vendas:** O sistema deve fornecer uma visualização em formato Kanban do funil de vendas, permitindo mover os leads pelas etapas de Prospecção, Diagnóstico, Proposta, Negociação e Fechamento.
* **RF03 - Registro de Interações:** O sistema deve permitir registrar detalhadamente todas as interações com potenciais clientes, incluindo anotações de reuniões, e-mails trocados e telefonemas realizados.
* **RF04 - Emissão e Armazenamento de Atas de Reunião:** O sistema deve permitir a criação, edição e armazenamento de atas de reuniões diretamente vinculadas ao cadastro do lead ou do projeto correspondente.
* **RF05 - Central de Propostas e Contratos:** O sistema deve permitir o upload, armazenamento e categorização de propostas comerciais e contratos, associando-os aos respectivos clientes.
* **RF06 - Versionamento de Documentos:** O sistema deve controlar o histórico de versões de propostas comerciais e contratos anexados, permitindo visualizar modificações anteriores e identificar o autor de cada alteração.
* **RF07 - Busca Global Avançada:** O sistema deve disponibilizar um mecanismo de busca que permita localizar rapidamente clientes, propostas antigas, atas de reuniões e documentos históricos por meio de palavras-chave, tags, datas ou filtros específicos.
* **RF08 - Transição automática de Vendas para Projetos:** O sistema deve permitir que, ao marcar um lead como "Ganho" no funil de vendas, os dados do cliente e a proposta aprovada sejam convertidos automaticamente em um novo projeto na área de desenvolvimento, notificando a equipe técnica.
* **RF09 - Automação de Tarefas e Lembretes:** O sistema deve criar tarefas automáticas e enviar alertas (notificações internas ou por e-mail) para os assessores de vendas sobre atividades pendentes, reuniões agendadas ou leads sem interação há determinado período.
* **RF10 - Painel de Indicadores Comerciais (Dashboard):** O sistema deve gerar gráficos e relatórios em tempo real com indicadores de desempenho comercial, tais como taxa de conversão de leads, tempo médio de negociação, volume de vendas e progresso em relação às metas anuais da &lt;Empresa Júnior&gt;.
* **RF11 - Vinculação de Artefatos de Design e Desenvolvimento:** O sistema deve permitir a associação de links externos (como protótipos do Figma e repositórios de código) diretamente na página do projeto ou do lead correspondente.
* **RF12 - Controle de Acesso Baseado em Perfis (RBAC):** O sistema deve permitir a atribuição de diferentes níveis de permissão para os usuários (ex: Administrador, Assessor de Vendas, Desenvolvedor), restringindo o acesso a informações comerciais confidenciais e dados financeiros.
* **RF13 - Log de Auditoria:** O sistema deve registrar um histórico detalhado e não editável de todas as ações críticas realizadas na plataforma, incluindo quem visualizou, editou ou excluiu dados de clientes, propostas ou contratos.
---
### Requisitos Não Funcionais (RNF)
* **RNF01 - Segurança e Proteção de Dados (LGPD):** O sistema deve garantir a proteção dos dados pessoais dos clientes e membros da &lt;Empresa Júnior&gt;, utilizando criptografia para dados em trânsito (HTTPS) e em repouso, em conformidade com a Lei Geral de Proteção de Dados.
* **RNF02 - Compatibilidade e Responsividade:** O sistema deve ser totalmente responsivo e compatível com os principais navegadores web do mercado (Google Chrome, Mozilla Firefox, Safari e Microsoft Edge) para permitir o acesso seguro a partir de computadores pessoais dos membros.
* **RNF03 - Desempenho na Busca:** O mecanismo de busca avançada deve retornar resultados em tempo inferior a 2 segundos, mesmo quando realizada em grandes volumes de dados históricos.
* **RNF04 - Backup e Recuperação de Desastres:** O sistema deve realizar backups automatizados diários de todo o banco de dados e arquivos armazenados, garantindo a recuperação das informações em caso de falhas e evitando a perda do conhecimento organizacional da &lt;Empresa Júnior&gt;.
* **RNF05 - Facilidade de Integração (API):** O sistema deve possuir uma arquitetura baseada em APIs para viabilizar futuras integrações diretas com ferramentas externas de prospecção ou comunicação (como Apollo e Pipefy).</t>
  </si>
  <si>
    <t>Ótima estrutura focada em segurança (RBAC e Logs), mas a transição para projetos ficou um pouco genérica.</t>
  </si>
  <si>
    <t>Assesora de Vendas</t>
  </si>
  <si>
    <t>### Requisitos Funcionais (RF)
*   **RF01 - Gestão de Contatos e Leads:** O sistema deve permitir o cadastro, edição, exclusão e visualização de leads e contatos para prospecção, registrando informações como nome, empresa, cargo, e-mail, telefone e canal de origem do primeiro contato.
*   **RF02 - Pipeline de Vendas Visual:** O sistema deve disponibilizar um painel visual (estilo Kanban) para o acompanhamento do funil de vendas, permitindo a movimentação dos leads entre as etapas de Prospecção, Diagnóstico, Proposta, Negociação, Fechamento e Perda.
*   **RF03 - Registro de Interações e Histórico:** O sistema deve registrar de forma cronológica e centralizada todo o histórico de interações com o lead, incluindo e-mails enviados, ligações realizadas, reuniões agendadas e observações gerais.
*   **RF04 - Gestão de Atas de Reunião:** O sistema deve permitir a criação, edição e armazenamento de atas de reuniões associadas diretamente ao perfil do lead ou cliente correspondente.
*   **RF05 - Armazenamento e Versionamento de Propostas:** O sistema deve permitir o upload, armazenamento e controle de versionamento de propostas comerciais e contratos, vinculando-os ao respectivo lead ou projeto.
*   **RF06 - Busca Global e Avançada:** O sistema deve fornecer um mecanismo de busca rápida e filtros avançados para recuperar propostas antigas, contratos, atas e históricos de clientes com base em palavras-chave, data, responsável ou status.
*   **RF07 - Automação de Fluxo de Trabalho Comercial:** O sistema deve permitir a criação de regras de automação, como o envio automático de e-mails de acompanhamento (follow-up) e a criação de tarefas pendentes quando um lead mudar de etapa no pipeline.
*   **RF08 - Transição de Vendas para Projetos:** O sistema deve permitir a conversão automática de um lead ganho em um novo projeto na base de dados, migrando o histórico comercial, a proposta aprovada e os dados do cliente para a equipe de desenvolvimento.
*   **RF09 - Vinculação de Artefatos Técnicos:** O sistema deve permitir a associação de links externos de protótipos (ex: Figma), repositórios e documentos de pesquisa de UX diretamente à proposta comercial ou ao projeto integrado.
*   **RF10 - Painel de Indicadores de Desempenho (Dashboards):** O sistema deve gerar relatórios e gráficos em tempo real com indicadores comerciais, incluindo taxa de conversão de leads, tempo médio em cada etapa do funil, faturamento projetado e progresso em relação às metas anuais da &lt;Empresa Júnior&gt;.
*   **RF11 - Sistema de Notificações e Lembretes:** O sistema deve enviar notificações internas e alertas por e-mail sobre tarefas atrasadas, reuniões agendadas, necessidade de follow-up e atualizações em propostas sob responsabilidade do membro.
*   **RF12 - Registro de Auditoria (Logs):** O sistema deve registrar de forma automática todas as alterações realizadas em dados críticos (como valores de propostas, exclusão de leads ou alteração de contratos), indicando o usuário responsável, a data e a modificação feita.
### Requisitos Não Funcionais (RNF)
*   **RNF01 - Segurança e Proteção de Dados:** O sistema deve garantir a proteção dos dados dos clientes e leads armazenados, utilizando criptografia de dados em repouso e em trânsito (HTTPS), em conformidade com as diretrizes da LGPD.
*   **RNF02 - Controle de Acesso Baseado em Perfis (RBAC):** O sistema deve restringir o acesso a dados financeiros, contratos e propostas por meio de permissões de usuário específicas para diferentes cargos dentro da &lt;Empresa Júnior&gt; (ex: Assessoria, Diretoria, Desenvolvedor).
*   **RNF03 - Disponibilidade e Acesso Web:** O sistema deve ser hospedado em nuvem e acessível via navegadores web modernos (Chrome, Firefox, Safari, Edge) a partir de computadores pessoais dos membros, sem necessidade de instalação de software local.
*   **RNF04 - Usabilidade e Responsividade:** A interface do sistema deve ser responsiva (adaptável a diferentes tamanhos de tela) e seguir padrões de usabilidade que minimizem o tempo de aprendizado e facilitem a transição de novos membros da &lt;Empresa Júnior&gt;.
*   **RNF05 - Centralização de Ferramentas:** O sistema deve ser projetado para consolidar as funcionalidades de CRM, gestão de documentos e acompanhamento de tarefas, visando eliminar a dependência operacional direta de ferramentas externas fragmentadas (como Pipefy, Notion e Apollo).</t>
  </si>
  <si>
    <t>Boa cobertura de automação de follow-ups e vinculação técnica, mas gerou menos requisitos não funcionais.</t>
  </si>
  <si>
    <t xml:space="preserve">### Requisitos Funcionais (RF)
*   **RF01 – Gestão de Leads e Contatos:** O sistema deve permitir o cadastro, edição, visualização e exclusão de leads e contatos de potenciais clientes, registrando informações como nome, cargo, empresa, canais de contato, origem do lead e histórico detalhado de interações.
*   **RF02 – Pipeline de Vendas Visual:** O sistema deve disponibilizar um funil de vendas visual (no formato Kanban) que permita arrastar e acompanhar os leads através das etapas de: Primeiro Contato, Diagnóstico, Proposta, Negociação e Contrato Fechado/Perdido.
*   **RF03 – Centralização de Documentos Comerciais:** O sistema deve permitir o upload, armazenamento e categorização de propostas comerciais, contratos e atas de reuniões diretamente no perfil de cada lead ou cliente correspondente.
*   **RF04 – Busca Global e Recuperação Histórica:** O sistema deve fornecer uma barra de busca rápida que permita localizar clientes, propostas antigas, atas de reuniões e contratos utilizando filtros por palavra-chave, data, responsável ou status do projeto.
*   **RF05 – Automação de Fluxos de Trabalho:** O sistema deve automatizar tarefas repetitivas do processo comercial, como a criação automática de uma tarefa de "Elaborar Proposta" quando o lead for movido para a etapa de "Proposta" no pipeline.
*   **RF06 – Integração Comercial-Projetos:** O sistema deve permitir que, ao marcar um lead como "Contrato Fechado", as informações comerciais, proposta aprovada e escopo do projeto sejam automaticamente importadas para a área de gestão de projetos do sistema.
*   **RF07 – Registro de Atas de Reunião:** O sistema deve possuir um editor de texto integrado para criação, salvamento e vinculação de atas de reuniões de diagnóstico e negociação diretamente ao cadastro do lead.
*   **RF08 – Painel de Indicadores Comerciais (Dashboard):** O sistema deve gerar gráficos e relatórios em tempo real contendo métricas de desempenho, tais como: taxa de conversão do funil, tempo médio de fechamento, número de novos leads e progresso em relação às metas anuais da &lt;Empresa Júnior&gt;.
*   **RF09 – Sistema de Notificações e Lembretes:** O sistema deve enviar notificações na plataforma e alertas por e-mail para os assessores de vendas sobre reuniões agendadas, propostas pendentes de retorno e tarefas atrasadas.
*   **RF10 – Controle de Acesso Baseado em Perfis:** O sistema deve permitir a atribuição de permissões de acesso diferenciadas (ex.: Administrador, Assessor de Vendas, Desenvolvedor), restringindo a edição de propostas e a visualização de dados financeiros de clientes a usuários autorizados.
*   **RF11 – Registro de Auditoria (Logs):** O sistema deve registrar um histórico de alterações (logs) contendo usuário, data, hora e a modificação realizada em dados sensíveis de leads, propostas e contratos.
*   **RF12 – Versionamento de Documentos:** O sistema deve controlar o versionamento de propostas comerciais e contratos anexados, mantendo o histórico de arquivos anteriores para consulta.
### Requisitos Não Funcionais (RNF)
*   **RNF01 – Segurança e Proteção de Dados:** O sistema deve criptografar os dados dos clientes em repouso e em trânsito (utilizando HTTPS) para garantir a conformidade com as boas práticas de segurança da informação.
*   **RNF02 – Compatibilidade e Acesso Web:** O sistema deve ser uma aplicação web responsiva, compatível com os principais navegadores do mercado (Chrome, Firefox, Safari e Edge), permitindo o acesso seguro a partir de computadores pessoais dos membros.
*   **RNF03 – Desempenho e Tempo de Resposta:** O sistema deve apresentar um tempo de resposta inferior a 2 segundos para o carregamento do pipeline de vendas e para a execução de buscas na base de dados.
*   **RNF04 – Facilidade de Integração (Interoperabilidade):** O sistema deve disponibilizar APIs ou ferramentas de importação de dados para viabilizar a migração das informações atualmente dispersas em plataformas externas (como Pipefy, Notion, Apollo e Figma).
*   **RNF05 – Disponibilidade:** O sistema deve possuir uma taxa de disponibilidade mínima de 99,5% (uptime), garantindo que a equipe de vendas possa acessar as informações continuamente ao longo do ano.
*   **RNF06 – Usabilidade:** A interface do usuário deve ser intuitiva, padronizada e de fácil adoção, reduzindo o tempo de treinamento necessário para novos integrantes da &lt;Empresa Júnior&gt;.
</t>
  </si>
  <si>
    <t>Requisitos bem estruturados para o pipeline, mas deixou de fora integrações explícitas com design/front-end.</t>
  </si>
  <si>
    <t xml:space="preserve">Assessora Gestão de Pessoas 1 </t>
  </si>
  <si>
    <t xml:space="preserve">### Requisitos Funcionais (RF)
*   **RF01 – Cadastro Centralizado de Membros:** O sistema deve permitir o cadastro, edição, consulta e desativação de registros de membros e ex-membros, contemplando dados pessoais (nome completo, RG, CPF, endereço, idade, e-mail e telefone) e dados internos (cargo, equipe, histórico de projetos e data de admissão/desligamento).
*   **RF02 – Gestão e Armazenamento de Documentos:** O sistema deve permitir o upload, armazenamento, organização e download de documentos contratuais, termos de adesão, termos de confidencialidade e demais registros administrativos vinculados diretamente ao perfil de cada membro.
*   **RF03 – Geração Automatizada de Termos e Contratos:** O sistema deve permitir a geração automática de documentos administrativos padronizados (como contratos e termos de voluntariado), preenchendo-os automaticamente com os dados cadastrais do membro armazenados no sistema.
*   **RF04 – Integração com Formulários Externos:** O sistema deve possuir integração automatizada para capturar, consolidar e atualizar dados de membros provenientes de formulários externos de coleta de dados (como formulários de processo seletivo ou atualização cadastral).
*   **RF05 – Gestão de Pesquisas de Clima Organizacional:** O sistema deve permitir a criação, o agendamento, o envio periódico (semanal e mensal) e a coleta de respostas de pesquisas de opinião e clima organizacional de forma anônima ou identificada.
*   **RF06 – Dashboard de Indicadores de Gestão de Pessoas:** O sistema deve gerar painéis visuais (dashboards) com indicadores consolidados de satisfação, engajamento, clima organizacional e relacionamento entre as equipes, atualizados automaticamente a partir das pesquisas respondidas.
*   **RF07 – Controle de Permissões de Acesso (RBAC):** O sistema deve permitir a atribuição de perfis de acesso distintos (ex: Administrador, Assessora de GP, Membro), garantindo que apenas usuários autorizados visualizem ou editem dados pessoais sensíveis e documentos restritos.
*   **RF08 – Registro de Log e Auditoria:** O sistema deve registrar e manter um histórico detalhado e inalterável de todas as ações realizadas sobre os dados dos membros (criação, visualização, alteração e exclusão), identificando o usuário responsável, data e hora do evento.
*   **RF09 – Exclusão Definitiva de Dados (Direito ao Esquecimento):** O sistema deve fornecer uma funcionalidade para a exclusão permanente e irreversível de dados sensíveis de membros ou ex-membros da base de dados ativa e dos backups, em conformidade com as solicitações de privacidade.
*   **RF10 – Alertas e Notificações Automáticas:** O sistema deve enviar notificações automáticas (via sistema e e-mail) para os membros sobre pendências de assinatura de documentos, prazos de entrega e liberação de novas pesquisas de clima.
*   **RF11 – Importação e Exportação de Dados:** O sistema deve permitir a importação e exportação de dados cadastrais e relatórios de membros em formatos padronizados (como CSV e XLSX) de forma simplificada.
---
### Requisitos Não Funcionais (RNF)
*   **RNF01 – Segurança e Criptografia de Dados:** O sistema deve criptografar todos os dados pessoais sensíveis armazenados no banco de dados (criptografia em repouso) e utilizar protocolo seguro HTTPS para a transmissão de dados (criptografia em trânsito).
*   **RNF02 – Conformidade Legal (LGPD):** O sistema deve ser projetado em conformidade com as diretrizes da Lei Geral de Proteção de Dados (LGPD), garantindo o consentimento explícito para o tratamento de dados e ferramentas para a portabilidade e exclusão de informações pessoais.
*   **RNF03 – Disponibilidade e Acesso Multiplataforma:** O sistema deve ser baseado em web (SaaS), garantindo disponibilidade mínima de 99,5% e permitindo acesso seguro tanto de computadores locais na sede da &lt;Empresa Júnior&gt; quanto de dispositivos pessoais remotamente.
*   **RNF04 – Autenticação Segura:** O acesso remoto ao sistema por usuários com privilégios administrativos (como a Assessora de GP) deve exigir autenticação multifator (MFA).
*   **RNF05 – Facilidade de Uso e Configuração (Usabilidade):** A interface de criação de pesquisas e automação de fluxos de dados deve ser intuitiva e amigável (no-code/low-code), permitindo que a assessora gerencie os processos sem a necessidade de suporte ou conhecimento técnico em programação.
*   **RNF06 – Backup e Recuperação de Desastres:** O sistema deve realizar rotinas diárias de backup automatizado incremental de todos os dados e documentos cadastrados, com um plano de recuperação que garanta a restauração dos dados em caso de falhas.
*   **RNF07 – Desempenho e Escalabilidade:** O sistema deve ser capaz de suportar o crescimento do volume de registros de membros, ex-membros e histórico de pesquisas ao longo dos anos, mantendo o tempo de resposta para consultas e geração de relatórios abaixo de 3 segundos.
</t>
  </si>
  <si>
    <t>### Requisitos Funcionais (RF)
*   **RF01 - Cadastro Centralizado de Membros:** O sistema deve permitir o cadastro, edição, consulta e visualização de dados pessoais e administrativos de membros e ex-membros (incluindo nome, RG, CPF, endereço, idade, e-mail, telefone, cargo e área).
*   **RF02 - Histórico de Membros:** O sistema deve manter um histórico consolidado e cronológico da trajetória de cada membro na &lt;Empresa Júnior&gt;, registrando datas de admissão, desligamento, promoções, projetos realizados e feedbacks.
*   **RF03 - Controle de Acesso Baseado em Perfis (RBAC):** O sistema deve restringir o acesso a dados pessoais sensíveis dos membros, permitindo que apenas usuários autorizados (como a Assessoria de Gestão de Pessoas) visualizem, editem ou excluam essas informações.
*   **RF04 - Gestão de Contratos e Termos:** O sistema deve permitir o upload, armazenamento e associação de contratos, termos de voluntariado, termos de confidencialidade e outros documentos administrativos ao perfil de cada membro.
*   **RF05 - Geração Automatizada de Documentos:** O sistema deve gerar automaticamente documentos e termos administrativos preenchidos a partir de modelos pré-configurados e dos dados cadastrais dos membros.
*   **RF06 - Integração Automática de Formulários:** O sistema deve integrar-se a formulários externos de coleta de dados para importar e atualizar automaticamente as informações cadastrais dos membros, eliminando a necessidade de inserção manual.
*   **RF07 - Gestão de Pesquisas de Clima:** O sistema deve permitir a criação, agendamento, disparo e coleta de respostas de pesquisas de opinião e clima organizacional (semanais e mensais) direcionadas aos membros.
*   **RF08 - Painel de Indicadores de Clima (Dashboard):** O sistema deve consolidar as respostas das pesquisas de clima e gerar painéis visuais com gráficos de engajamento, satisfação e relacionamento entre as equipes.
*   **RF09 - Exclusão Definitiva de Dados (LGPD):** O sistema deve disponibilizar uma funcionalidade de exclusão física e definitiva de dados pessoais sensíveis de membros e ex-membros, garantindo que nenhuma cópia residual permaneça no banco de dados ativo.
*   **RF10 - Registro de Auditoria (Logs):** O sistema deve registrar logs detalhados de todas as ações de criação, leitura, atualização e exclusão (CRUD) realizadas nos registros dos membros, identificando o usuário responsável, data e hora da ação.
*   **RF11 - Alertas e Notificações de Pendências:** O sistema deve enviar notificações automáticas para os membros sobre termos pendentes de assinatura, pesquisas não respondidas e necessidade de atualização cadastral.
*   **RF12 - Exportação e Importação de Relatórios:** O sistema deve permitir a exportação de relatórios consolidados de dados de membros e resultados de pesquisas de clima em formatos padronizados (como PDF e CSV).
### Requisitos Não Funcionais (RNF)
*   **RNF01 - Conformidade com a LGPD:** O sistema deve criptografar dados pessoais sensíveis (como CPF, RG e endereços) tanto em repouso (banco de dados) quanto em trânsito (protocolo HTTPS) para garantir a conformidade com a Lei Geral de Proteção de Dados.
*   **RNF02 - Autenticação Segura (MFA):** O sistema deve exigir autenticação de múltiplos fatores (MFA) para o acesso de administradores e assessores com privilégios de manipulação de dados sensíveis.
*   **RNF03 - Disponibilidade e Acesso Remoto:** O sistema deve ser baseado em plataforma web, sendo acessível de forma segura tanto computadores da sede da &lt;Empresa Júnior&gt; quanto de dispositivos pessoais externos, com uma disponibilidade mínima de 99,5%.
*   **RNF04 - Tolerância a Falhas nas Integrações:** O sistema deve possuir um mecanismo de reprocessamento e tratamento de erros para garantir que falhas temporárias de rede não causem perda de dados vindos de formulários integrados.
*   **RNF05 - Facilidade de Uso (Usabilidade):** A interface de configuração de pesquisas e automações deve ser intuitiva, permitindo que a Assessora de GP realize tarefas operacionais sem a necessidade de suporte técnico ou conhecimento em programação.
*   **RNF06 - Backup e Recuperação:** O sistema deve realizar rotinas diárias e automáticas de backup incremental de todos os dados cadastrais e documentos, garantindo um tempo de recuperação (RTO) de no máximo 4 horas em caso de falhas críticas.</t>
  </si>
  <si>
    <t>Dita um RTO de no máximo 4 horas, que pode ser excessivo para a empresa júnior</t>
  </si>
  <si>
    <t xml:space="preserve">### Requisitos Funcionais (RF)
*   **RF01 – Cadastro Centralizado de Membros:** O sistema deve permitir o cadastro, consulta, atualização e exclusão de dados pessoais e administrativos de membros e ex-membros (incluindo nome completo, RG, CPF, endereço, data de nascimento, e-mail e telefone).
*   **RF02 – Histórico do Membro:** O sistema deve manter um registro histórico consolidado da trajetória de cada membro na &lt;Empresa Júnior&gt;, incluindo cargos ocupados, projetos realizados, avaliações de desempenho e feedbacks recebidos.
*   **RF03 – Gestão de Documentos e Termos:** O sistema deve permitir o upload, armazenamento, organização e download de documentos formais, termos de voluntariado, contratos e acordos de confidencialidade vinculados ao perfil de cada membro.
*   **RF04 – Geração Automatizada de Documentos:** O sistema deve gerar automaticamente contratos e termos administrativos em formato PDF a partir de modelos pré-definidos, preenchendo automaticamente os campos com os dados cadastrais do membro selecionado.
*   **RF05 – Integração com Formulários Externos:** O sistema deve possuir integração automatizada com ferramentas de formulários (como Google Forms ou Typeform) para coletar dados de processos seletivos e pesquisas, atualizando a base de dados interna sem necessidade de digitação manual.
*   **RF06 – Gestão de Pesquisas de Clima:** O sistema deve permitir a criação, agendamento e envio periódico (semanal/mensal) de pesquisas de clima organizacional e de satisfação para os membros da &lt;Empresa Júnior&gt;.
*   **RF07 – Painel de Indicadores de Gestão de Pessoas (Dashboard):** O sistema deve gerar gráficos e relatórios consolidados em tempo real sobre os resultados das pesquisas de clima, engajamento dos membros e relacionamento entre as equipes.
*   **RF08 – Notificações e Alertas Automáticos:** O sistema deve enviar notificações automáticas para os membros sobre pendências de preenchimento de pesquisas, assinatura de termos ou entrega de documentos obrigatórios.
*   **RF09 – Importação e Exportação de Dados:** O sistema deve permitir a importação e exportação de dados cadastrais e relatórios de pesquisas em formatos padronizados (como CSV ou XLSX) de forma simplificada.
*   **RF10 – Registro de Auditoria (Logs):** O sistema deve registrar detalhadamente todas as ações de criação, edição ou exclusão de registros de dados pessoais, identificando o usuário responsável, a data, a hora e a alteração realizada.
*   **RF11 – Exclusão Definitiva (Direito ao Esquecimento):** O sistema deve fornecer uma funcionalidade para a exclusão definitiva ou anonimização irreversível dos dados pessoais sensíveis de membros e ex-membros, conforme solicitação expressa.
### Requisitos Não Funcionais (RNF)
*   **RNF01 – Controle de Acesso Baseado em Perfis (RBAC):** O sistema deve restringir o acesso a dados pessoais sensíveis (como CPF, RG e avaliações individuais), permitindo a visualização e edição desses dados apenas a usuários com o perfil de "Assessoria de Gestão de Pessoas" ou administradores autorizados.
*   **RNF02 – Segurança e Criptografia de Dados:** Todos os dados pessoais sensíveis armazenados no banco de dados e as informações trafegadas entre o cliente e o servidor devem ser criptografados (utilizando HTTPS e algoritmos de criptografia em repouso).
*   **RNF03 – Conformidade Legal (LGPD):** O sistema deve ser desenvolvido em estrita conformidade com a Lei Geral de Proteção de Dados (LGPD), garantindo o consentimento explícito para coleta de dados e mecanismos fáceis para auditoria e exclusão de informações.
*   **RNF04 – Disponibilidade e Acesso Remoto Seguro:** O sistema deve ser baseado em nuvem (SaaS), garantindo disponibilidade de 99,5% e permitindo o acesso seguro tanto dos computadores da sede da &lt;Empresa Júnior&gt; quanto de dispositivos pessoais externos, mediante autenticação segura de dois fatores (MFA).
*   **RNF05 – Backup e Recuperação de Desastres:** O sistema deve realizar rotinas diárias de backup automatizado de todos os dados de membros e documentos, com tempo de recuperação (RTO) máximo de 4 horas em caso de falha crítica.
*   **RNF06 – Usabilidade e Facilidade de Configuração:** A interface para configuração de integrações e geração de relatórios deve ser intuitiva e não exigir conhecimentos de programação ou codificação por parte da Assessora de Gestão de Pessoas.
</t>
  </si>
  <si>
    <t>Traz um requisito mencionado anteriormente como funcional, como não funcional.</t>
  </si>
  <si>
    <t>### Requisitos Funcionais (RF)
*   **RF01 - Cadastro e Gestão Unificada de Membros:** O sistema deve permitir o cadastro, edição, consulta e exclusão de dados pessoais e administrativos de membros e ex-membros (incluindo RG, CPF, endereço, idade, cargo, área e histórico na organização).
*   **RF02 - Controle de Acesso Baseado em Perfis (RBAC):** O sistema deve permitir a criação de perfis de acesso distintos (ex: Assessora de GP, Diretoria, Membro), garantindo que dados sensíveis de membros sejam visualizados e editados apenas por usuários autorizados.
*   **RF03 - Histórico Consolidado de Membros:** O sistema deve manter um registro histórico de toda a trajetória do membro na &lt;Empresa Júnior&gt;, incluindo promoções, desligamentos, feedbacks, avaliações de desempenho e projetos em que participou.
*   **RF04 - Gestão de Documentos e Termos:** O sistema deve permitir o upload, armazenamento, organização e download de contratos de voluntariado, termos de confidencialidade (NDA) e outros documentos administrativos associados ao cadastro de cada membro.
*   **RF05 - Geração Automatizada de Documentos:** O sistema deve gerar automaticamente documentos, contratos e termos administrativos em formato PDF a partir de modelos pré-definidos, preenchendo-os com os dados cadastrais do membro armazenados no sistema.
*   **RF06 - Integração Automatizada de Formulários:** O sistema deve possuir integração com ferramentas de formulários digitais externos para coletar, consolidar e atualizar dados cadastrais de novos membros de forma automática, eliminando a necessidade de inserção manual.
*   **RF07 - Gestão de Pesquisas de Clima e Satisfação:** O sistema deve permitir a criação, o agendamento de envio periódico (semanal/mensal) e a coleta de respostas de pesquisas de opinião, clima organizacional e satisfação interna de forma anônima ou identificada.
*   **RF08 - Painel de Indicadores de Gestão de Pessoas (Dashboard):** O sistema deve disponibilizar um painel visual para a Assessora de GP com gráficos e métricas consolidadas sobre clima organizacional, taxa de engajamento, turnover, absenteísmo e satisfação das equipes.
*   **RF09 - Exclusão Definitiva de Dados Sensíveis:** O sistema deve disponibilizar uma funcionalidade de exclusão permanente e irrecuperável de dados pessoais sensíveis (conforme solicitação de ex-membros), mantendo apenas dados históricos anonimizados para fins estatísticos.
*   **RF10 - Registro de Auditoria (Logs):** O sistema deve registrar um log detalhado de todas as operações de criação, leitura, atualização e exclusão (CRUD) realizadas sobre os dados cadastrais dos membros, identificando o usuário responsável, data e hora da ação.
*   **RF11 - Importação e Exportação de Dados:** O sistema deve permitir a importação em lote de dados de membros via arquivos estruturados (ex: CSV ou XLSX) e a exportação de relatórios cadastrais personalizados.
*   **RF12 - Notificações e Alertas de Pendências:** O sistema deve enviar alertas automáticos (via e-mail ou interface do sistema) para os membros sobre pendências de assinatura de documentos, preenchimento de pesquisas de clima ou necessidade de atualização cadastral.
---
### Requisitos Não Funcionais (RNF)
*   **RNF01 - Segurança e Conformidade com a LGPD:** O sistema deve criptografar todos os dados pessoais sensíveis armazenados no banco de dados (como CPF, RG e dados de saúde) tanto em repouso quanto em trânsito (utilizando protocolo HTTPS).
*   **RNF02 - Autenticação Segura:** O sistema deve exigir autenticação multifator (MFA) para usuários com perfis administrativos (como a Assessora de GP) que possuem acesso a dados confidenciais.
*   **RNF03 - Disponibilidade e Acesso Multiplataforma:** O sistema deve ser baseado em web (SaaS), permitindo o acesso seguro de forma remota (dispositivos pessoais) e presencial (computadores da sede), com taxa de disponibilidade mínima de 99,5%.
*   **RNF04 - Usabilidade e Facilidade de Configuração:** A interface de configuração de automações e geração de relatórios deve ser intuitiva e do tipo *no-code/low-code*, permitindo que a Assessora de GP opere o sistema sem necessidade de suporte técnico ou conhecimentos de programação.
*   **RNF05 - Confiabilidade na Consistência de Dados:** O sistema deve possuir mecanismos de validação sintática (ex: validação de formato de CPF, e-mail e datas) no recebimento de dados via integrações para mitigar erros humanos e inconsistências na base de dados.
*   **RNF06 - Backup e Recuperação de Desastres:** O sistema deve realizar rotinas de backup diárias e automáticas de toda a base de dados de GP, com tempo máximo de recuperação (RTO) de até 4 horas em caso de falhas críticas.
*   **RNF07 - Escalabilidade:** O banco de dados do sistema deve ser dimensionado para suportar o crescimento do volume de registros históricos de membros e respostas de pesquisas ao longo dos anos sem degradação do desempenho das consultas (tempo de resposta de buscas deve ser inferior a 2 segundos).</t>
  </si>
  <si>
    <t xml:space="preserve">A mais completa, bem explicada e específica. Porém fala de guardar dados de saúde dos membros, o que foge do escopo, mas não é uma alucinação grave. </t>
  </si>
  <si>
    <t xml:space="preserve">### Requisitos Funcionais (RF)
*   **RF01 – Cadastro Unificado de Membros e Ex-membros:** O sistema deve permitir o cadastro, consulta, edição e inativação de registros de membros e ex-membros, centralizando dados pessoais (nome, RG, CPF, endereço, telefone, e-mail) e histórico de atuação na &lt;Empresa Júnior&gt;.
*   **RF02 – Gestão de Documentos e Termos:** O sistema deve permitir o upload, armazenamento, organização e download de documentos digitais, termos de voluntariado, contratos e acordos de confidencialidade vinculados diretamente ao perfil de cada membro.
*   **RF03 – Geração Automatizada de Documentos:** O sistema deve gerar automaticamente contratos e termos administrativos em formato PDF a partir de modelos personalizáveis, preenchendo os campos com os dados cadastrais do membro selecionado.
*   **RF04 – Integração com Formulários Externos:** O sistema deve integrar-se a ferramentas de formulários digitais para capturar e atualizar automaticamente os dados de novos membros e pesquisas de opinião no banco de dados central, eliminando a inserção manual.
*   **RF05 – Módulo de Pesquisas de Clima Organizacional:** O sistema deve permitir a criação, agendamento, envio e coleta de respostas de pesquisas periódicas (semanais e mensais) de clima e satisfação de forma anônima ou nominal.
*   **RF06 – Dashboard de Indicadores de Gestão de Pessoas:** O sistema deve consolidar as respostas das pesquisas de clima e gerar painéis visuais (gráficos e métricas) para acompanhamento do índice de satisfação, engajamento e relacionamento entre as equipes.
*   **RF07 – Controle de Acesso Baseado em Perfis (RBAC):** O sistema deve permitir a atribuição de diferentes níveis de permissão de acesso, garantindo que apenas usuários autorizados (como a Assessora de Gestão de Pessoas) visualizem ou editem dados sensíveis dos membros.
*   **RF08 – Registro de Auditoria (Logs):** O sistema deve registrar de forma detalhada e imutável todas as ações de criação, leitura, atualização e exclusão (CRUD) realizadas nos registros de membros, identificando o usuário, a data, a hora e a alteração efetuada.
*   **RF09 – Exclusão Definitiva de Dados Sensíveis:** O sistema deve disponibilizar uma funcionalidade de exclusão lógica e física permanente de dados pessoais sensíveis dos membros, garantindo a eliminação completa dos registros quando formalmente solicitado.
*   **RF10 – Notificações e Alertas Automáticos:** O sistema deve disparar notificações automáticas (via e-mail ou alertas internos no sistema) sobre pendências de assinatura de termos, prazos de contratos a vencer e liberação de novas pesquisas de clima.
*   **RF11 – Importação e Exportação de Dados:** O sistema deve permitir a importação de dados cadastrais em lote a partir de arquivos estruturados (como .CSV ou .XLSX) e a exportação de relatórios consolidados de membros e indicadores de desempenho.
---
### Requisitos Não Funcionais (RNF)
*   **RNF01 – Segurança e Criptografia (Conformidade com a LGPD):** O sistema deve criptografar dados pessoais sensíveis armazenados no banco de dados (criptografia em repouso) e utilizar protocolo seguro HTTPS para toda a comunicação de dados (criptografia em trânsito).
*   **RNF02 – Autenticação Segura Multi-fator (MFA):** O sistema deve exigir autenticação de dois fatores (MFA) para acessos administrativos realizados fora da rede local (sede física da &lt;Empresa Júnior&gt;).
*   **RNF03 – Disponibilidade e Acesso Remoto:** O sistema deve ser implantado em ambiente web (nuvem), garantindo disponibilidade de no mínimo 99,5% do tempo, permitindo o acesso seguro tanto de computadores locais quanto de dispositivos pessoais externos.
*   **RNF04 – Usabilidade e Configuração Sem Código (No-Code/Low-Code):** A interface de configuração de automações de dados e criação de pesquisas deve ser intuitiva e amigável, permitindo que a Assessora de GP realize manutenções operacionais sem a necessidade de conhecimento técnico em programação.
*   **RNF05 – Robustez e Tolerância a Falhas:** O sistema deve validar e tratar erros de integração de dados de fontes externas, gerando relatórios de falha automáticos em caso de inconsistência, sem interromper o funcionamento das demais rotinas.
*   **RNF06 – Backup e Recuperação:** O sistema deve realizar rotinas diárias e automatizadas de backup incremental de toda a base de dados de GP, com tempo de recuperação máxima (RTO) de até 4 horas em caso de incidentes.
*   **RNF07 – Desempenho e Tempo de Resposta:** O sistema deve processar buscas e gerar relatórios de indicadores em um tempo máximo de 3 segundos, mesmo com o crescimento histórico do volume de dados de membros e ex-membros.
</t>
  </si>
  <si>
    <t>Líder técnico de conhecimento</t>
  </si>
  <si>
    <t>### Requisitos Funcionais (RF)
*   **RF01 - Centralização de Artefatos Técnicos:** O sistema deve permitir o cadastro, organização e vinculação de repositórios de código (links externos como GitHub/GitLab) e documentações técnicas diretamente associados a cada projeto.
*   **RF02 - Gerenciamento e Importação de Documentos Multiformato:** O sistema deve permitir o upload, visualização e armazenamento de arquivos em formato PDF, bem como a integração ou importação de notas estruturadas (estilo Notion) e links do Google Drive em uma única interface.
*   **RF03 - Controle de Versão e Histórico de Alterações:** O sistema deve manter um histórico de revisões para todas as documentações internas criadas na plataforma, registrando a data, hora e o membro responsável por cada alteração.
*   **RF04 - Busca Global Indexada:** O sistema deve disponibilizar um mecanismo de busca rápida que permita localizar termos específicos dentro de títulos, tags e conteúdos de documentos técnicos e projetos cadastrados.
*   **RF05 - Padronização de Documentos (Templates):** O sistema deve permitir que o Líder Técnico crie e disponibilize modelos (templates) de documentação técnica (ex: especificação de arquitetura, atas de reuniões técnicas, guias de deploy) para serem utilizados pela equipe.
*   **RF06 - Controle de Acessos e Permissões:** O sistema deve permitir a definição de níveis de permissão (ex: leitura, escrita, administração) para visualização e edição de documentos e repositórios de projetos.
*   **RF07 - Rastreabilidade de Contribuições:** O sistema deve gerar relatórios visuais simples que consolidem as contribuições e atualizações de artefatos feitas por cada membro da equipe ao longo do projeto.
*   **RF08 - Repositório de Conhecimento Institucional (Arquivo Histórico):** O sistema deve fornecer uma funcionalidade para arquivar projetos finalizados, garantindo que suas documentações e códigos permaneçam acessíveis para consulta futura e não sejam perdidos com a saída de membros.
*   **RF09 - Consolidação de Status Semanal:** O sistema deve gerar relatórios automáticos semanais com o resumo das atividades técnicas realizadas, documentos atualizados e pendências de tarefas dos projetos em andamento.
*   **RF10 - Espaço Colaborativo de Comentários:** O sistema deve permitir que os membros da equipe insiram comentários, feedbacks e notas de revisão diretamente nos documentos técnicos hospedados na plataforma.
### Requisitos Não Funcionais (RNF)
*   **RNF01 - Otimização para Desktop:** A interface do sistema deve ser projetada e otimizada prioritariamente para uso em computadores pessoais (desktops e notebooks), focando em alta densidade de informação e facilidade de leitura.
*   **RNF02 - Desempenho de Busca:** O mecanismo de busca global do sistema deve retornar resultados relevantes em um tempo máximo de 2 segundos, mesmo com o crescimento do volume de documentos.
*   **RNF03 - Usabilidade e Fluxo Simplificado (Baixa Fricção):** O processo para criar, editar ou salvar um documento técnico não deve exigir mais do que 3 cliques, minimizando etapas burocráticas ou fluxos complexos de aprovação.
*   **RNF04 - Disponibilidade:** O sistema deve apresentar uma disponibilidade de 99,5% (Uptime), garantindo o acesso contínuo às informações necessárias para as tomadas de decisão técnicas semanais.
*   **RNF05 - Segurança e Backup:** O sistema deve realizar backups automáticos diários de toda a base de dados e documentos armazenados para mitigar riscos de perda ou inconsistência de informações.</t>
  </si>
  <si>
    <t>Não detectei invasão de escopo e destacou bem a divisão entre Notion, PDFs e Drive</t>
  </si>
  <si>
    <t>### Requisitos Funcionais (RF)
*   **RF01 - Centralização de Repositórios e Links Técnicos:** O sistema deve permitir associar e centralizar links de repositórios externos de código (como GitHub ou GitLab) e ambientes de homologação a cada projeto cadastrado.
*   **RF02 - Módulo de Base de Conhecimento (Wiki):** O sistema deve disponibilizar um módulo de Wiki integrado para a criação, edição e organização de artigos técnicos, tutoriais e padrões de desenvolvimento da organização.
*   **RF03 - Modelos de Documentação (Templates):** O sistema deve permitir a criação e o uso de templates padronizados para documentos técnicos (como especificação de arquitetura, manuais de implantação e relatórios de entrega).
*   **RF04 - Controle de Versão de Documentos:** O sistema deve manter um histórico de alterações de todos os documentos e artigos da base de conhecimento, permitindo visualizar versões anteriores e identificar o autor de cada modificação.
*   **RF05 - Busca Global Avançada:** O sistema deve fornecer uma ferramenta de busca textual que indexe todo o conteúdo de documentos, tarefas e projetos, com suporte a filtros por projeto, tecnologia, autor e data.
*   **RF06 - Gestão de Permissões de Acesso:** O sistema deve permitir a configuração de níveis de acesso (leitura, escrita e administração) para documentos, projetos e pastas de acordo com o papel do membro na &lt;Empresa Júnior&gt; (ex: Líder Técnico, Desenvolvedor, Assessor).
*   **RF07 - Rastreabilidade de Contribuições:** O sistema deve registrar e exibir um histórico consolidado das atividades técnicas realizadas por cada membro nos projetos, integrado às fases de desenvolvimento (Pesquisa, Prototipação, Desenvolvimento, Entrega e Suporte).
*   **RF08 - Importação de Arquivos:** O sistema deve permitir a importação direta de arquivos em formatos comuns (como Markdown, PDF e DOCX) para facilitar a migração de conteúdos vindos do Notion ou Google Drive.
*   **RF09 - Notificações de Atualizações Técnicas:** O sistema deve enviar notificações semanais consolidadas ao Líder Técnico contendo o resumo das alterações realizadas em documentos de projetos sob sua responsabilidade.
*   **RF10 - Vinculação de Artefatos a Projetos:** O sistema deve permitir que artefatos de software (como protótipos do Figma, diagramas e relatórios de pesquisa de UX) sejam anexados diretamente à respectiva fase do projeto no fluxo de trabalho.
---
### Requisitos Não Funcionais (RNF)
*   **RNF01 - Otimização para Desktop:** A interface do sistema para a criação e edição de documentos deve ser otimizada prioritariamente para uso em computadores pessoais (desktops e notebooks), garantindo alta densidade de informação e atalhos de teclado.
*   **RNF02 - Desempenho de Busca:** O mecanismo de busca global deve retornar resultados relevantes em um tempo máximo de 1,5 segundos, mesmo sob volume crescente de dados históricos.
*   **RNF03 - Política de Backup e Segurança:** O sistema deve realizar backups diários automatizados de toda a base de conhecimento e documentos anexados para mitigar o risco de perda de conhecimento institucional.
*   **RNF04 - Usabilidade e Baixa Fricção:** O fluxo para criação ou atualização de um documento técnico não deve exigir mais do que 3 cliques a partir da tela inicial do projeto correspondente, mantendo o processo simples e ágil.
*   **RNF05 - Disponibilidade:** O sistema deve manter uma taxa de disponibilidade de 99,5% durante o horário comercial para garantir o acesso constante às informações de suporte ao desenvolvimento.</t>
  </si>
  <si>
    <t>Refinou bem a anterior</t>
  </si>
  <si>
    <t xml:space="preserve">### Requisitos Funcionais (RF)
*   **RF01 - Centralização de Repositórios e Links Técnicos:** O sistema deve permitir associar repositórios de código externos (ex: GitHub, GitLab) e links de ferramentas de design/documentação (ex: Figma, Notion, Google Drive) diretamente à página de cada projeto.
*   **RF02 - Base de Conhecimento Integrada (Wiki):** O sistema deve disponibilizar um módulo de Wiki/Base de Conhecimento para a criação, edição e organização de artigos técnicos, guias de instalação, arquiteturas de referência e tutoriais.
*   **RF03 - Histórico de Alterações e Versionamento:** O sistema deve manter o histórico de revisões de todos os documentos técnicos e artigos da base de conhecimento, registrando o autor, a data, a hora e as alterações realizadas, permitindo a restauração de versões anteriores.
*   **RF04 - Busca Global Avançada:** O sistema deve possuir uma barra de busca rápida que indexe títulos, tags, categorias e o conteúdo textual de todos os documentos, projetos e registros técnicos cadastrados.
*   **RF05 - Modelos de Documentação (Templates):** O sistema deve permitir a criação e aplicação de modelos padronizados de documentos técnicos (ex: especificação de arquitetura, plano de testes, ata de entrega técnica) para garantir a consistência das informações.
*   **RF06 - Controle de Acesso e Permissões:** O sistema deve permitir a atribuição de diferentes níveis de permissão (leitura, escrita, administração) para membros e líderes em relação a projetos, pastas e documentos técnicos.
*   **RF07 - Relatório Semanal de Atividades Técnicas:** O sistema deve gerar relatórios ou dashboards semanais consolidados com o status de desenvolvimento dos projetos, commits vinculados, tarefas concluídas e documentações atualizadas.
*   **RF08 - Rastreabilidade de Contribuições:** O sistema deve registrar e exibir uma linha do tempo com as contribuições e atividades realizadas por cada membro dentro de um projeto específico.
*   **RF09 - Importação e Exportação de Arquivos:** O sistema deve permitir a importação de arquivos nos formatos PDF e Markdown, bem como a exportação de documentos da base de conhecimento para esses mesmos formatos.
---
### Requisitos Não Funcionais (RNF)
*   **RNF01 - Otimização para Desktop (Usabilidade):** A interface do sistema deve ser projetada e otimizada prioritariamente para uso em navegadores de computadores pessoais (desktops e notebooks), priorizando densidade de informação e facilidade de navegação por teclado.
*   **RNF02 - Desempenho de Busca:** O mecanismo de busca global do sistema deve retornar resultados relevantes em um tempo máximo de 1,5 segundos, mesmo com o crescimento do volume de dados.
*   **RNF03 - Prevenção de Perda de Dados (Confiabilidade):** O sistema deve realizar backups automatizados diários de todo o banco de dados e arquivos anexados, garantindo a integridade do conhecimento institucional acumulado.
*   **RNF04 - Simplicidade de Fluxo (Usabilidade):** O processo de criação e publicação de um novo documento técnico ou associação de um link de repositório não deve exigir mais do que 3 cliques por parte do usuário.
*   **RNF05 - Segurança e Privacidade:** Toda a comunicação de dados dentro do sistema deve ser criptografada via protocolo HTTPS, e o acesso a documentos confidenciais de projetos deve ser restrito estritamente aos membros autorizados.
</t>
  </si>
  <si>
    <t>Embora tenha bons requisitos, alguns não parecem ter muita relação com a resposta ao formulário.</t>
  </si>
  <si>
    <t>### Requisitos Funcionais (RF)
*   **RF01 - Centralização de Artefatos Técnicos:** O sistema deve permitir o armazenamento, organização e associação de códigos-fonte (via links de repositórios externos), documentações e arquivos (PDFs, imagens e Markdown) em um único perfil centralizado por projeto.
*   **RF02 - Sistema de Gestão de Conhecimento (Wiki):** O sistema deve disponibilizar um módulo de base de conhecimento (estilo Wiki) para criação, edição e compartilhamento de artigos técnicos, guias de desenvolvimento e boas práticas.
*   **RF03 - Controle de Versão de Documentos:** O sistema deve manter o histórico de alterações de cada documento técnico, permitindo visualizar versões anteriores, identificar o autor das modificações e restaurar versões passadas.
*   **RF04 - Mecanismo de Busca Avançada:** O sistema deve possuir uma barra de busca global que permita encontrar rapidamente documentos, códigos, projetos e artigos de conhecimento por meio de palavras-chave, tags, autor ou data de modificação.
*   **RF05 - Padronização por Templates:** O sistema deve fornecer templates editáveis para a criação de documentações técnicas específicas de cada etapa do ciclo de vida da &lt;Empresa Júnior&gt; (Pesquisa, Prototipação, Desenvolvimento e Entrega/Suporte).
*   **RF06 - Controle de Acesso e Permissões:** O sistema deve permitir definir diferentes níveis de permissão (leitura, edição, administração) para os membros da equipe em relação aos projetos e documentos técnicos.
*   **RF07 - Rastreabilidade de Contribuições:** O sistema deve registrar de forma automática as atividades realizadas pelos membros nos artefatos dos projetos, indicando quem criou, alterou ou excluiu determinada informação.
*   **RF08 - Automatização de Relatórios Semanais:** O sistema deve gerar automaticamente relatórios de status semanal dos projetos, consolidando as tarefas concluídas, pendentes e os artefatos técnicos gerados no período.
*   **RF09 - Integração de Tarefas e Documentos:** O sistema deve permitir vincular diretamente documentos técnicos e repositórios de código às tarefas específicas do gerenciador de projetos.
*   **RF10 - Exportação de Dados:** O sistema deve permitir a exportação das documentações internas em formatos padronizados, como PDF e Markdown, para facilitar o compartilhamento externo.
---
### Requisitos Não Funcionais (RNF)
*   **RNF01 - Usabilidade e Responsividade Desktop:** A interface do sistema deve ser projetada e otimizada prioritariamente para uso em computadores pessoais (desktops e notebooks), garantindo uma experiência fluida em navegadores web modernos.
*   **RNF02 - Desempenho de Busca:** O mecanismo de busca global do sistema deve retornar resultados relevantes em um tempo máximo de 2 segundos, mesmo com o crescimento do volume de dados armazenados.
*   **RNF03 - Simplicidade de Interface (UX):** O fluxo de criação e edição de documentos deve ser intuitivo e ágil, assemelhando-se a ferramentas de mercado como o Notion, com o mínimo de etapas burocráticas ou cliques necessários para salvar as alterações.
*   **RNF04 - Confiabilidade e Backup:** O sistema deve realizar backups automáticos diários de toda a base de conhecimento e documentação técnica para mitigar o risco de perda ou corrupção de dados institucionais.
*   **RNF05 - Disponibilidade:** O sistema deve possuir uma disponibilidade mínima de 99,5% (uptime), garantindo que os membros tenham acesso constante às informações técnicas necessárias para as entregas semanais.</t>
  </si>
  <si>
    <t>Muito parecido com a repetição 5, muito completo</t>
  </si>
  <si>
    <t xml:space="preserve">### Requisitos Funcionais (RF)
*   **RF01 – Centralização de Repositórios e Artefatos:** O sistema deve permitir associar a cada projeto links externos de repositórios de código (ex.: GitHub, GitLab) e pastas de design/documentação (ex.: Figma, Google Drive, Notion), centralizando o acesso aos artefatos em uma única tela.
*   **RF02 – Base de Conhecimento (Wiki):** O sistema deve disponibilizar um módulo de base de conhecimento para criação, edição e categorização de artigos técnicos, tutoriais, padrões de desenvolvimento e guias de integração.
*   **RF03 – Gerenciamento e Versionamento de Documentos:** O sistema deve permitir o upload de documentos técnicos (como PDFs e diagramas) e manter um histórico de versões, permitindo visualizar quem realizou alterações e restaurar versões anteriores.
*   **RF04 – Busca Global e Filtros Avançados:** O sistema deve possuir uma barra de busca rápida que permita localizar documentos, códigos, artigos da Wiki e projetos por meio de palavras-chave, tags, autor ou data de modificação.
*   **RF05 – Modelos de Documentos (Templates):** O sistema deve permitir a criação e aplicação de templates padronizados para documentos técnicos (ex.: Especificação de Arquitetura, Checklist de Deploy, Relatório de Testes) para garantir a consistência das entregas.
*   **RF06 – Registro de Acompanhamento Técnico Semanal:** O sistema deve fornecer uma funcionalidade para o Líder Técnico registrar e acompanhar o status do desenvolvimento dos projetos semanalmente, incluindo checklists de qualidade e pendências técnicas.
*   **RF07 – Controle de Acesso e Permissões:** O sistema deve permitir a definição de níveis de acesso (ex.: Administrador, Líder Técnico, Desenvolvedor, Visualizador) para garantir que apenas membros autorizados possam editar ou excluir documentações críticas.
*   **RF08 – Rastreabilidade de Contribuições (Log de Atividades):** O sistema deve registrar automaticamente um log de atividades de todas as interações relevantes nos projetos (criação, edição, exclusão e download de documentos), identificando o autor e o horário da ação.
*   **RF09 – Notificações de Atualização:** O sistema deve enviar notificações automáticas aos membros do projeto quando uma documentação técnica ou link de repositório for atualizado.
### Requisitos Não Funcionais (RNF)
*   **RNF01 – Usabilidade e Design Responsivo para Desktop:** A interface do sistema deve ser otimizada para uso em computadores pessoais (desktops e notebooks), apresentando um layout limpo, intuitivo e com o mínimo de cliques possíveis para a realização de tarefas.
*   **RNF02 – Desempenho na Busca:** O mecanismo de busca global deve retornar resultados em um tempo máximo de 2 segundos, mesmo com o crescimento do volume de documentos armazenados.
*   **RNF03 – Confiabilidade e Backup:** O sistema deve realizar backups automáticos diários de toda a base de conhecimento e documentos armazenados para mitigar o risco de perda de propriedade intelectual da organização.
*   **RNF04 – Integração Simplicada:** O sistema deve permitir a integração fácil de links externos sem exigir configurações complexas de API para cada novo projeto, mantendo o fluxo de trabalho ágil.
</t>
  </si>
  <si>
    <t>Bem completo, mas não fala sobre edição da wiki, apenas upload</t>
  </si>
  <si>
    <t>tech_lead_projetos</t>
  </si>
  <si>
    <t>### Requisitos Funcionais (RF)
*   **RF01 - Cadastro e Centralização de Projetos:** O sistema deve permitir o cadastro de projetos, centralizando em uma única tela as informações de escopo, cronograma, equipe alocada, repositórios de código (links externos) e documentação técnica.
*   **RF02 - Módulo de Definição e Elicitação de Requisitos:** O sistema deve disponibilizar um módulo para cadastro, detalhamento e categorização dos requisitos do projeto, associando-os às etapas do fluxo de desenvolvimento da &lt;Empresa Júnior&gt; (Pesquisa, Prototipação, Desenvolvimento, Entrega e Suporte).
*   **RF03 - Histórico de Alterações de Requisitos (Versionamento):** O sistema deve registrar automaticamente qualquer alteração realizada nos requisitos de um projeto, armazenando o autor da modificação, a data, a versão anterior e a justificativa do ajuste.
*   **RF04 - Rastreabilidade de Itens de Trabalho:** O sistema deve permitir vincular diretamente cada requisito cadastrado às suas respectivas tarefas no backlog e aos entregáveis correspondentes, garantindo a rastreabilidade de ponta a ponta.
*   **RF05 - Base Histórica de Estimativas e Tarefas:** O sistema deve manter um registro consolidado de todas as tarefas executadas em projetos anteriores, contendo a descrição da atividade, a categoria (ex: desenvolvimento frontend, prototipação, pesquisa de UX), o tempo estimado e o tempo real de execução.
*   **RF06 - Assistente de Estimativa de Prazos:** O sistema deve fornecer uma ferramenta de busca e comparação que permita ao Tech Lead pesquisar tarefas semelhantes no histórico da organização para sugerir estimativas de tempo mais realistas para o novo cronograma.
*   **RF07 - Visualização e Gestão de Cronogramas Dinâmicos:** O sistema deve gerar visualizações do cronograma do projeto (como Gráfico de Gantt ou Linha do Tempo), permitindo definir dependências entre tarefas, marcos de entrega (milestones) e acompanhar o desvio entre o planejado e o executado em tempo real.
*   **RF08 - Repositório de Lições Aprendidas (Gestão do Conhecimento):** O sistema deve permitir o registro de "lições aprendidas", riscos identificados e soluções técnicas adotadas ao fim de cada projeto ou fase, servindo como base de consulta para futuros planejamentos.
*   **RF09 - Integração com Documentos Externos:** O sistema deve permitir a importação, vinculação e visualização de documentos externos (como links do Google Docs, Google Sheets e Notion) diretamente na área de documentação técnica do projeto.
*   **RF10 - Dashboard de Métricas de Produtividade:** O sistema deve disponibilizar um painel de indicadores para o Tech Lead, apresentando métricas como o tempo médio de execução por tipo de tarefa, taxa de retrabalho por alteração de escopo e índice de desvio de prazo dos projetos.
### Requisitos Não Funcionais (RNF)
*   **RNF01 - Centralização de Dados (Consistência):** O sistema deve unificar os dados de projetos e tarefas em um banco de dados centralizado, eliminando a redundância de informações atualmente dispersas em planilhas e documentos isolados.
*   **RNF02 - Facilidade de Uso e Interface Intuitiva (Usabilidade):** A interface de gestão de backlog e documentação deve ser fluida e amigável, inspirada em ferramentas de produtividade modernas (como Notion), para garantir a rápida adoção pelos membros da &lt;Empresa Júnior&gt;.
*   **RNF03 - Desempenho na Consulta de Histórico:** A busca por tarefas históricas e lições aprendidas na base de conhecimento deve retornar resultados em menos de 2 segundos, mesmo com o crescimento do volume de dados ao longo dos anos.
*   **RNF04 - Rastreabilidade e Auditabilidade:** Toda alteração de escopo, cronograma ou status de requisitos deve gerar um log de auditoria imutável para garantir a transparência do processo de gestão técnica.</t>
  </si>
  <si>
    <t>Aborda bem o versionamento e histórico para estimativas, mas focou pouco em usabilidade técnica.</t>
  </si>
  <si>
    <t>### Requisitos Funcionais (RF)
*   **RF01 - Centralização de Repositórios de Código:** O sistema deve permitir a associação de repositórios de código externos (ex: GitHub, GitLab) a cada projeto cadastrado, centralizando o acesso aos links e metadados diretamente no painel do projeto.
*   **RF02 - Gerenciamento de Documentação Técnica:** O sistema deve fornecer um módulo para criação, edição, categorização e armazenamento de documentos técnicos (como diagramas de arquitetura, guias de setup e especificações de API) associados a cada projeto.
*   **RF03 - Versionamento de Requisitos e Controle de Escopo:** O sistema deve registrar o histórico de alterações nos requisitos do projeto, incluindo quem realizou a alteração, a data, a justificativa e o impacto estimado no cronograma.
*   **RF04 - Rastreabilidade de Requisitos:** O sistema deve permitir vincular cada requisito levantado (nas etapas de Pesquisa ou Prototipação) às tarefas correspondentes do backlog de Desenvolvimento e aos entregáveis finais.
*   **RF05 - Banco de Dados Histórico de Tarefas:** O sistema deve manter um registro consolidado de todas as tarefas executadas em projetos anteriores, contendo tipo de tarefa, tecnologia utilizada, tempo estimado e tempo real de execução.
*   **RF06 - Estimativa de Prazos Baseada em Histórico:** O sistema deve fornecer uma ferramenta de busca e comparação que permita ao Tech Lead pesquisar tarefas semelhantes de projetos passados para sugerir estimativas de esforço e tempo para novas tarefas.
*   **RF07 - Visualização Dinâmica do Backlog e Cronograma:** O sistema deve disponibilizar visões em formato de Gráfico de Gantt e Kanban para o planejamento e acompanhamento das etapas de Pesquisa, Prototipação, Desenvolvimento e Entrega.
*   **RF08 - Registro de Lições Aprendidas (Post-Mortem):** O sistema deve disponibilizar um formulário obrigatório de encerramento de projeto para registro de lições aprendidas, principais desafios técnicos enfrentados e soluções adotadas.
*   **RF09 - Dashboard de Métricas de Produtividade:** O sistema deve gerar relatórios e gráficos com indicadores de desvio de prazo (planejado vs. executado), tempo médio de resolução de tarefas por tipo de atividade e taxa de retrabalho de requisitos.
*   **RF10 - Template de Levantamento de Requisitos:** O sistema deve disponibilizar templates padronizados para o processo de levantamento de requisitos técnicos durante a fase comercial/inicial, visando a formalização do escopo.
### Requisitos Não Funcionais (RNF)
*   **RNF01 - Integração com Ferramentas de Produtividade:** O sistema deve permitir a importação e exportação de dados em formatos compatíveis com Google Sheets, Google Docs e Notion (ex: CSV, PDF, Markdown).
*   **RNF02 - Desempenho em Consultas Históricas:** As consultas ao banco de dados histórico de tarefas e projetos anteriores devem retornar resultados em menos de 2 segundos, mesmo com o crescimento da base de dados.
*   **RNF03 - Consistência e Imutabilidade de Dados Históricos:** Os registros de tarefas e tempos de execução de projetos já finalizados e arquivados devem ser de apenas leitura (imutáveis), garantindo a integridade dos dados para estimativas futuras.
*   **RNF04 - Usabilidade e Curva de Aprendizado:** A interface de gestão de backlog e cronogramas deve ser intuitiva, seguindo padrões de usabilidade modernos (UX), de modo a reduzir a dependência de treinamentos individuais para novos membros da &lt;Empresa Júnior&gt;.</t>
  </si>
  <si>
    <t>Semelhante à iteração 1. Traz a geração de Gantt e Kanban, mas a quantidade de RNFs ficou na média.</t>
  </si>
  <si>
    <t>### Requisitos Funcionais (RF)
*   **RF01 - Cadastro e Rastreabilidade de Requisitos:** O sistema deve permitir o cadastro detalhado de requisitos de projeto (funcionais e não funcionais) e possibilitar a vinculação direta de cada requisito às respectivas tarefas no backlog de desenvolvimento.
*   **RF02 - Histórico de Alterações de Escopo (Change Log):** O sistema deve registrar e versionar automaticamente qualquer alteração realizada nos requisitos do projeto, armazenando a data da modificação, o autor da alteração e a justificativa técnica.
*   **RF03 - Modelos de Projetos Padronizados (Templates):** O sistema deve permitir a criação e a aplicação de templates de projetos baseados nas etapas metodológicas da &lt;Empresa Júnior&gt; (Pesquisa, Prototipação, Desenvolvimento, Entrega e Suporte), contendo estruturas de backlog e estimativas de esforço padrão.
*   **RF04 - Registro e Acompanhamento de Tempo (Time Tracking):** O sistema deve permitir que os membros da equipe de desenvolvimento registrem o tempo real gasto na execução de cada tarefa associada ao projeto.
*   **RF05 - Mecanismo de Busca de Histórico de Estimativas:** O sistema deve oferecer um filtro de busca avançada para que o Tech Lead pesquise tarefas e projetos passados por tecnologia, complexidade ou tipo de funcionalidade, exibindo o tempo médio real de execução dessas atividades para apoiar novas estimativas.
*   **RF06 - Repositório Central de Documentação Técnica:** O sistema deve possuir um módulo integrado para criação, edição e armazenamento de documentações técnicas do projeto (como diagramas de arquitetura, especificações de APIs e guias de deploy).
*   **RF07 - Integração de Repositórios de Código:** O sistema deve permitir a associação de links de repositórios externos de versionamento de código (ex: GitHub, GitLab) à página principal do respectivo projeto.
*   **RF08 - Visualização de Cronograma Dinâmico:** O sistema deve gerar visualizações interativas do cronograma do projeto (como Gráfico de Gantt ou Linha do Tempo), permitindo o mapeamento de dependências entre tarefas e a definição de marcos de entrega (*milestones*).
*   **RF09 - Registro de Lições Aprendidas (*Post-Mortem*):** O sistema deve disponibilizar um espaço formalizado ao final de cada projeto ou etapa para que o Tech Lead registre lições aprendidas, riscos mitigados e soluções técnicas adotadas.
*   **RF10 - Painel de Métricas de Planejamento:** O sistema deve consolidar e exibir em um painel (*dashboard*) métricas de desvio de estimativa (tempo planejado vs. tempo executado), taxa de retrabalho e produtividade por fase do ciclo de vida do projeto.
### Requisitos Não Funcionais (RNF)
*   **RNF01 - Desempenho de Busca:** O mecanismo de busca por dados históricos de projetos e tarefas semelhantes deve retornar os resultados em um tempo máximo de 2 segundos, mesmo sob alta concorrência de acessos.
*   **RNF02 - Portabilidade e Exportação de Dados:** O sistema deve permitir a exportação de relatórios de cronograma, documentação técnica e dados de backlog em formatos compatíveis com ferramentas de mercado (como PDF, CSV e Markdown), facilitando o compartilhamento externo.
*   **RNF03 - Rastreabilidade e Auditoria:** Os registros de alterações de escopo, cronograma e logs de tempo de execução das tarefas devem ser imutáveis e auditáveis, garantindo a integridade do histórico organizacional.
*   **RNF04 - Usabilidade no Planejamento:** A interface de criação de novos projetos e definição de escopo deve ser intuitiva, permitindo que o Tech Lead configure um novo projeto com seu respectivo cronograma inicial em até 5 etapas guiadas.</t>
  </si>
  <si>
    <t>Excelente por incluir "Time Tracking" real, o que resolve a dor das estimativas.</t>
  </si>
  <si>
    <t xml:space="preserve">### Requisitos Funcionais (RF)
*   **RF01 - Centralização de Repositórios de Código:** O sistema deve permitir vincular repositórios de código externos (ex: GitHub, GitLab) a cada projeto cadastrado, centralizando o acesso aos links e metadados diretamente no painel do projeto.
*   **RF02 - Gerenciamento de Documentação Técnica:** O sistema deve fornecer um editor de texto estruturado (estilo wiki) para criação, edição e organização de documentos técnicos (arquitetura, guias de setup, diagramas) associados a cada projeto.
*   **RF03 - Gestão e Visualização do Backlog:** O sistema deve permitir a criação, categorização (ex: Pesquisa, Prototipação, Desenvolvimento, Suporte) e ordenação de prioridade das tarefas do backlog do projeto.
*   **RF04 - Registro de Histórico de Execução de Tarefas:** O sistema deve registrar o tempo real de execução de cada tarefa concluída, associando-a ao seu tipo, complexidade e tecnologia utilizada.
*   **RF05 - Módulo de Estimativa Baseado em Histórico:** O sistema deve fornecer uma ferramenta de busca e filtragem que permita ao Tech Lead consultar tarefas semelhantes de projetos anteriores e seus respectivos tempos de execução para apoiar a estimativa de novos cronogramas.
*   **RF06 - Cadastro e Versionamento de Requisitos:** O sistema deve permitir o levantamento, especificação e versionamento dos requisitos do projeto (funcionais e não funcionais), mantendo o histórico de alterações com justificativa e autoria.
*   **RF07 - Rastreabilidade de Requisitos:** O sistema deve permitir associar requisitos específicos a tarefas do backlog, protótipos e entregáveis do projeto, garantindo a rastreabilidade de ponta a ponta.
*   **RF08 - Controle de Linha de Base (Baseline) do Cronograma:** O sistema deve permitir salvar a versão inicial do cronograma (baseline) e registrar desvios de prazos ao longo do ciclo de vida do projeto, exibindo alertas visuais em caso de atrasos.
*   **RF09 - Registro de Lições Aprendidas (Post-Mortem):** O sistema deve disponibilizar um formulário de fechamento de projeto para o registro de lições aprendidas, riscos mitigados, erros técnicos e soluções adotadas pela equipe.
*   **RF10 - Dashboard de Métricas de Produtividade:** O sistema deve gerar relatórios e gráficos com indicadores de desempenho técnico, como tempo médio de desenvolvimento por tipo de funcionalidade, taxa de retrabalho e desvio de estimativas.
---
### Requisitos Não Funcionais (RNF)
*   **RNF01 - Facilidade de Importação/Exportação (Interoperabilidade):** O sistema deve permitir a exportação de cronogramas e backlogs em formatos legíveis por outras ferramentas (como CSV, PDF e XLSX) e importação de dados de planilhas.
*   **RNF02 - Usabilidade do Editor de Documentos:** O editor de documentação técnica do sistema deve suportar formatação em Markdown e atalhos de teclado semelhantes a ferramentas de mercado (Notion/Google Docs) para reduzir a curva de aprendizado.
*   **RNF03 - Desempenho de Busca Histórica:** As consultas ao banco de dados histórico de tarefas e estimativas devem retornar resultados em menos de 2 segundos, mesmo com o crescimento da base de dados de projetos concluídos.
*   **RNF04 - Controle de Acesso Baseado em Perfis (RBAC):** O sistema deve restringir a edição de requisitos aprovados, baselines de cronogramas e configurações de repositórios a papéis específicos, como Tech Leads e Gerentes de Projeto.
*   **RNF05 - Auditabilidade de Escopo:** Qualquer alteração em requisitos previamente aprovados deve gerar um log de auditoria imutável contendo data, hora, usuário responsável e o impacto estimado no projeto.
</t>
  </si>
  <si>
    <t>A mais completa em escopo de gerência: inclui controle de "Baseline" do cronograma, editor de documentação estilo Wiki e rastreabilidade total.</t>
  </si>
  <si>
    <t xml:space="preserve">### Requisitos Funcionais (RF)
*   **RF01 - Vinculação de Repositórios:** O sistema deve permitir associar repositórios de código externos (ex: GitHub, GitLab) a cada projeto cadastrado na plataforma.
*   **RF02 - Centralização de Documentação Técnica:** O sistema deve disponibilizar um módulo para criação, edição, categorização e armazenamento de documentos técnicos (especificações de arquitetura, diagramas e guias de API) vinculados a cada projeto.
*   **RF03 - Templates de Levantamento de Requisitos:** O sistema deve fornecer templates padronizados para o preenchimento de requisitos de software, estruturados de acordo com as etapas de desenvolvimento da &lt;Empresa Júnior&gt; (Pesquisa, Prototipação, Desenvolvimento e Entrega).
*   **RF04 - Rastreabilidade de Itens de Escopo:** O sistema deve permitir associar tarefas do backlog diretamente aos requisitos de software que as originaram, mantendo o vínculo visível durante todo o ciclo de vida do projeto.
*   **RF05 - Histórico de Alterações de Requisitos (Versionamento):** O sistema deve registrar automaticamente qualquer alteração realizada nos requisitos do projeto, identificando o autor, a data, a hora, o campo alterado e exigindo a inserção de uma justificativa para a mudança.
*   **RF06 - Registro de Tempo de Execução por Categoria:** O sistema deve registrar o tempo planejado versus o tempo real de execução de cada tarefa concluída, categorizando-as por tipo de atividade (ex: pesquisa de UX, prototipação, desenvolvimento frontend, desenvolvimento backend, testes).
*   **RF07 - Base de Conhecimento e Busca Avançada:** O sistema deve disponibilizar um mecanismo de busca global que permita consultar tarefas, escopos, tecnologias utilizadas e lições aprendidas de projetos anteriores já concluídos.
*   **RF08 - Gerador de Estimativas Baseado em Histórico:** O sistema deve fornecer uma funcionalidade de apoio à decisão que sugira prazos e esforços para novas tarefas com base na média de tempo de execução de tarefas similares registradas no histórico da organização.
*   **RF09 - Cronograma Interativo com Linha do Tempo:** O sistema deve gerar e exibir um cronograma interativo (ex: Gráfico de Gantt) para cada projeto, permitindo a visualização de dependências entre tarefas, marcos de entrega (milestones) e o progresso em tempo real das etapas da &lt;Empresa Júnior&gt;.
*   **RF10 - Registro de Lições Aprendidas (Post-Mortem):** O sistema deve disponibilizar um formulário de fechamento de projeto para que o Tech Lead registre as lições aprendidas, riscos mitigados e dificuldades técnicas enfrentadas pela equipe.
---
### Requisitos Não Funcionais (RNF)
*   **RNF01 - Consolidação de Ferramentas (Usabilidade):** O sistema deve centralizar as funções de gestão de tarefas, cronogramas e documentação técnica em uma única interface integrada, eliminando a necessidade de uso concorrente de ferramentas externas (como Notion e Google Sheets) para o planejamento técnico.
*   **RNF02 - Desempenho de Busca:** As consultas realizadas na base de conhecimento histórica do sistema devem retornar resultados relevantes em um tempo máximo de 2 segundos, mesmo sob crescimento do volume de dados de projetos anteriores.
*   **RNF03 - Auditabilidade do Histórico:** O log de alterações de requisitos e o histórico de tempo de execução de tarefas concluídas devem ser imutáveis, impedindo a edição retroativa de dados consolidados para garantir a confiabilidade das métricas organizacionais.
*   **RNF04 - Responsividade do Dashboard:** O painel de visualização de cronogramas e métricas de desempenho técnico deve ser totalmente responsivo, adaptando-se para visualização em desktops e tablets.
</t>
  </si>
  <si>
    <t>Ótimos templates estruturados, mas perde um pouco para a iteração 4 na parte técnica do controle de atrasos.</t>
  </si>
  <si>
    <t>Assessora Gestão de Pessoas 2</t>
  </si>
  <si>
    <t xml:space="preserve">### Requisitos Funcionais (RF)
*   **RF01 - Cadastro Unificado de Membros:** O sistema deve permitir o cadastro, edição, consulta e exclusão de perfis de membros da &lt;Empresa Júnior&gt;, contendo dados pessoais, contatos, cargo atual, assessoria correspondente e histórico de projetos em que participou.
*   **RF02 - Gerenciamento do Ciclo de Vida de Trainees:** O sistema deve permitir o registro e o acompanhamento completo de trainees, incluindo dados pessoais, cargo pretendido, controle de presença e tarefas realizadas no processo de treinamento, feedbacks recebidos e status de evolução técnica.
*   **RF03 - Histórico de Movimentação de Membros:** O sistema deve registrar e exibir de forma cronológica o histórico de evolução de cada membro dentro da &lt;Empresa Júnior&gt;, detalhando promoções, mudanças de assessoria, desligamentos e projetos realizados.
*   **RF04 - Autenticação Unificada (Single Sign-On):** O sistema deve fornecer um mecanismo de login único para que o usuário acesse todas as funcionalidades internas de gestão de pessoas sem a necessidade de múltiplos logins ou alternância de contas.
*   **RF05 - Integração com Ferramentas Externas:** O sistema deve integrar-se via APIs com Notion, Google Planilhas, Google Docs e Google Drive para permitir a importação, exportação e centralização de documentos e dados históricos de membros.
*   **RF06 - Controle de Permissões de Acesso:** O sistema deve permitir a atribuição de perfis de acesso (ex: Administrador, Assessora de GP, Membro, Trainee), restringindo a edição e visualização de dados sensíveis e feedbacks apenas a usuários autorizados.
*   **RF07 - Geração de Relatórios de Desempenho:** O sistema deve gerar relatórios consolidados sobre a evolução dos trainees no processo seletivo, resultados de avaliações de desempenho periódicas e estatísticas gerais de membros ativos e inativos.
*   **RF08 - Busca Avançada e Filtros:** O sistema deve disponibilizar um mecanismo de busca rápida que permita localizar membros ou trainees por nome, cargo, assessoria, projeto ou status no processo de treinamento.
---
### Requisitos Não Funcionais (RNF)
*   **RNF01 - Otimização para Desktop:** A interface do sistema deve ser projetada e otimizada prioritariamente para uso em computadores (ambiente desktop), visando a eficiência em tarefas administrativas e de digitação de dados.
*   **RNF02 - Usabilidade e Simplicidade:** O sistema deve possuir uma interface simples, limpa e intuitiva, com um fluxo de navegação que reduza a quantidade de cliques para a realização de tarefas repetitivas (como inserção de feedbacks).
*   **RNF03 - Sincronização em Tempo Real:** As atualizações de dados realizadas no sistema devem ser sincronizadas em tempo real com o banco de dados e com as plataformas integradas (como Google Sheets), evitando inconsistência de informações.
*   **RNF04 - Disponibilidade:** O sistema deve estar disponível para acesso remoto via web por pelo menos 99,5% do tempo (alta disponibilidade), garantindo o acesso diário dos membros da assessoria.
*   **RNF05 - Consistência e Integridade de Dados:** O sistema deve validar os dados inseridos para impedir a duplicidade de cadastros de membros e garantir que as informações de GP sejam mantidas de forma íntegra e sem divergências.
*   **RNF06 - Baixa Curva de Aprendizado:** O sistema deve ser de fácil adoção, permitindo que novos membros da assessoria consigam utilizar as funções básicas de cadastro e consulta sem a necessidade de treinamentos formais extensos.
</t>
  </si>
  <si>
    <t>Falhou criticamente ao não incluir proteção de dados/LGPD nos requisitos não funcionais. O modelo alucinou ao inventar um 'controle de presença' para trainees que não foi solicitado pela persona.</t>
  </si>
  <si>
    <t xml:space="preserve">### Requisitos Funcionais (RF)
*   **RF01 - Cadastro Unificado de Membros e Trainees:** O sistema deve permitir o cadastro, edição e exclusão de registros de membros e trainees, contemplando dados pessoais, contatos, foto, cargo ocupado, assessoria correspondente e projetos em que está ou esteve alocado.
*   **RF02 - Autenticação Unificada (Single Sign-On):** O sistema deve permitir o acesso de todos os usuários por meio de uma única credencial de login (ex: integração com a conta institucional do Google Workspace).
*   **RF03 - Controle de Permissões de Acesso:** O sistema deve permitir a atribuição de perfis de acesso distintos (ex: Administrador, Assessora de GP, Membro, Trainee), restringindo a visualização e edição de dados sensíveis (como feedbacks e avaliações) de acordo com a função do usuário.
*   **RF04 - Acompanhamento do Programa de Trainees:** O sistema deve disponibilizar um módulo específico para o acompanhamento de trainees, permitindo registrar e monitorar o progresso do treinamento técnico, as tarefas realizadas, as notas obtidas e os feedbacks recebidos.
*   **RF05 - Histórico de Evolução e Movimentação:** O sistema deve registrar e manter de forma automatizada o histórico cronológico de cada integrante na &lt;Empresa Júnior&gt;, incluindo promoções, mudanças de cargo, troca de assessorias, projetos realizados e desligamentos.
*   **RF06 - Registro de Avaliações e Feedbacks:** O sistema deve permitir o agendamento, preenchimento e armazenamento de avaliações de desempenho periódicas e feedbacks formais aplicados aos membros e trainees.
*   **RF07 - Busca e Filtros Avançados:** O sistema deve fornecer uma ferramenta de busca rápida que permita filtrar a listagem de integrantes por nome, cargo, assessoria, projeto, status (ativo/inativo/trainee/alumni) e período de entrada.
*   **RF08 - Geração de Relatórios de Gestão de Pessoas:** O sistema deve permitir a exportação de relatórios consolidados sobre o status dos membros, desempenho dos trainees, turnover e histórico de alocação em projetos em formatos legíveis (como PDF ou CSV).
*   **RF09 - Integração de Repositório de Documentos:** O sistema deve permitir a anexação de documentos diretamente na ficha do membro (como contratos, termos de voluntariado e certificados) ou integrar-se nativamente com o Google Drive para centralizar o acesso a esses arquivos.
*   **RF10 - Painel de Atividades (Dashboard):** O sistema deve apresentar um painel visual para a assessoria de GP com indicadores em tempo real, tais como: quantidade de membros ativos, trainees em treinamento, pendências de feedbacks e avaliações atrasadas.
### Requisitos Não Funcionais (RNF)
*   **RNF01 - Usabilidade e Interface Desktop:** O sistema deve possuir uma interface web responsiva, com foco e otimização para uso em computadores desktop, priorizando a simplicidade, facilidade de navegação e minimização de cliques para tarefas administrativas diárias.
*   **RNF02 - Consistência e Sincronização de Dados:** O sistema deve operar com uma base de dados centralizada e garantir a sincronização em tempo real das atualizações de cadastros, evitando duplicidade de registros ou inconsistências entre módulos.
*   **RNF03 - Desempenho (Tempo de Resposta):** O tempo de resposta para buscas, filtros e carregamento de perfis de membros não deve exceder 2 segundos sob condições normais de rede.
*   **RNF04 - Disponibilidade:** O sistema deve estar disponível para acesso remoto via web com uma taxa de disponibilidade de, no mínimo, 99% (uptime).
*   **RNF05 - Segurança e Privacidade (LGPD):** O sistema deve criptografar dados pessoais sensíveis em trânsito e em repouso, garantindo a conformidade com a Lei Geral de Proteção de Dados (LGPD) e impedindo o vazamento de informações confidenciais de membros.
*   **RNF06 - Facilidade de Aprendizado:** O sistema deve possuir uma interface intuitiva que permita que novos membros da assessoria de GP aprendam a realizar operações básicas de cadastro e consulta em menos de 20 minutos de treinamento.
</t>
  </si>
  <si>
    <t>A iteração mais completa e a ESCOLHIDA pelo grupo. Abordou perfeitamente a LGPD (RNF05), o armazenamento de contratos formalizados (RF09) e introduziu dashboards gerenciais muito úteis sem fugir do escopo (RF10).</t>
  </si>
  <si>
    <t xml:space="preserve">### Requisitos Funcionais (RF)
*   **RF01 - Cadastro e Gestão de Membros:** O sistema deve permitir o cadastro, edição, consulta e inativação de membros da &lt;Empresa Júnior&gt;, armazenando dados pessoais, contatos, cargo ocupado, assessoria correspondente e projetos em que participa.
*   **RF02 - Histórico de Evolução de Membros:** O sistema deve registrar e manter o histórico cronológico das movimentações de cada membro dentro da &lt;Empresa Júnior&gt; (mudanças de cargo, trocas de assessoria e participação em projetos).
*   **RF03 - Gestão do Processo de Trainees:** O sistema deve permitir o gerenciamento completo de trainees, incluindo o registro do cargo pretendido, controle de tarefas realizadas, notas/desempenho em treinamentos técnicos e armazenamento de feedbacks recebidos.
*   **RF04 - Autenticação Unificada (Single Sign-On):** O sistema deve permitir o acesso unificado dos usuários utilizando uma única credencial (ex: integração com a conta institucional do Google Workspace da &lt;Empresa Júnior&gt;).
*   **RF05 - Integração de Dados Externos:** O sistema deve permitir a integração e sincronização de dados atualmente armazenados em plataformas externas (como Google Planilhas, Google Drive e Notion) para evitar a duplicidade de informações.
*   **RF06 - Controle de Permissões de Acesso:** O sistema deve possuir controle de acesso baseado em perfis (RBAC), garantindo que apenas membros da assessoria de Gestão de Pessoas possam editar dados sensíveis, feedbacks e avaliações, enquanto outros membros tenham acesso apenas para visualização ou edição de seus próprios perfis.
*   **RF07 - Busca e Filtros Avançados:** O sistema deve disponibilizar um mecanismo de busca rápida que permita filtrar membros e trainees por nome, cargo, assessoria, projeto, status (ativo/inativo/trainee) e período de ingresso.
*   **RF08 - Registro de Avaliações e Feedbacks:** O sistema deve permitir o registro, agendamento e armazenamento de avaliações periódicas de desempenho e feedbacks formais aplicados aos membros e trainees.
*   **RF09 - Geração de Relatórios de GP:** O sistema deve permitir a exportação de relatórios consolidados sobre o status dos membros, desempenho de trainees, taxa de turnover e distribuição de membros por assessoria em formatos legíveis (como PDF e CSV).
---
### Requisitos Não Funcionais (RNF)
*   **RNF01 - Usabilidade e Interface Desktop:** O sistema deve ser otimizado para uso em navegadores desktop, apresentando uma interface limpa, intuitiva e que exija o mínimo de cliques para a execução de tarefas administrativas diárias.
*   **RNF02 - Facilidade de Aprendizado:** O sistema deve possuir uma curva de aprendizado baixa, permitindo que novos assessores de Gestão de Pessoas consigam realizar operações básicas (consultas e cadastros) com no máximo 1 hora de treinamento ou leitura de manual de uso.
*   **RNF03 - Disponibilidade:** O sistema deve estar disponível para acesso remoto via web com uma taxa de disponibilidade (uptime) de, no mínimo, 99.5%.
*   **RNF04 - Consistência e Integridade de Dados:** O banco de dados do sistema deve possuir regras de validação estritas para impedir a duplicidade de cadastros de membros (por exemplo, validação por e-mail institucional ou CPF).
*   **RNF05 - Desempenho (Tempo de Resposta):** As consultas ao banco de dados e a transição entre as telas de gerenciamento de membros não devem exceder o tempo de resposta de 2 segundos sob condições normais de rede.
*   **RNF06 - Segurança e Privacidade (LGPD):** O sistema deve criptografar dados pessoais sensíveis em trânsito e em repouso, garantindo a conformidade com a Lei Geral de Proteção de Dados (LGPD).
</t>
  </si>
  <si>
    <t>Incluiu a LGPD e um bom RBAC, mas pecou ao ser superficial na gestão de contratos, omitindo o problema de anexos soltos.</t>
  </si>
  <si>
    <t>### Requisitos Funcionais (RF)
*   **RF01 - Cadastro Unificado de Membros e Trainees:** O sistema deve permitir o cadastro, edição, consulta e exclusão de dados pessoais e de contato de membros e trainees em uma única base de dados centralizada.
*   **RF02 - Histórico de Cargos e Assessorias:** O sistema deve registrar e manter o histórico de todos os cargos ocupados, promoções e assessorias pelas quais o membro passou durante seu ciclo de vida na &lt;Empresa Júnior&gt;.
*   **RF03 - Registro de Participação em Projetos:** O sistema deve permitir a vinculação de membros e trainees aos projetos desenvolvidos pela &lt;Empresa Júnior&gt;, registrando o papel desempenhado por cada um deles no projeto.
*   **RF04 - Acompanhamento do Processo de Treinamento:** O sistema deve permitir o controle do progresso de capacitação dos trainees, incluindo o status de conclusão de módulos de treinamento técnico, notas e observações.
*   **RF05 - Gerenciamento de Tarefas de Trainees:** O sistema deve permitir a atribuição, acompanhamento de prazos e registro de entrega de tarefas práticas destinadas aos trainees.
*   **RF06 - Registro de Feedbacks e Avaliações:** O sistema deve disponibilizar um módulo para o registro e consulta de feedbacks periódicos e resultados de avaliações de desempenho de membros e trainees.
*   **RF07 - Autenticação Unificada (Single Sign-On):** O sistema deve permitir o login único dos usuários utilizando credenciais de serviços institucionais já existentes (como Google Workspace).
*   **RF08 - Integração com Ferramentas Externas:** O sistema deve possuir integração (via API) com Google Drive, Google Docs, Google Planilhas e Notion para permitir a importação de dados legados e centralização de documentos de gestão de pessoas.
*   **RF09 - Controle de Permissões de Acesso (RBAC):** O sistema deve restringir o acesso a informações confidenciais (como feedbacks, dados pessoais sensíveis e avaliações) com base no perfil de acesso do usuário (ex: Administrador, Assessora de GP, Membro Comum, Trainee).
*   **RF10 - Busca Rápida e Filtros Avançados:** O sistema deve disponibilizar uma ferramenta de busca global e filtros avançados para localizar membros por nome, cargo, assessoria, projeto atual, status (ativo/inativo) ou condição (membro/trainee).
*   **RF11 - Emissão de Relatórios de Gestão de Pessoas:** O sistema deve permitir a geração e exportação de relatórios consolidados sobre a evolução dos trainees, índice de turnover, alocação de membros em projetos e status geral do quadro de pessoas.
### Requisitos Não Funcionais (RNF)
*   **RNF01 - Usabilidade e Design Responsivo (Foco em Desktop):** A interface do sistema deve ser intuitiva, simples e otimizada prioritariamente para uso em navegadores web desktop, visando a produtividade em tarefas administrativas repetitivas.
*   **RNF02 - Consistência de Dados e Sincronização:** O sistema deve garantir a consistência dos dados, atualizando as informações de forma síncrona em todos os módulos e ferramentas integradas sempre que houver alteração em um registro de membro.
*   **RNF03 - Disponibilidade:** O sistema deve apresentar alta disponibilidade, com uma taxa mínima de 99,5% de uptime, garantindo o acesso contínuo para as rotinas diárias da assessoria.
*   **RNF04 - Segurança e Proteção de Dados (LGPD):** O sistema deve criptografar dados pessoais sensíveis dos membros e trainees, tanto em trânsito quanto em repouso, em conformidade com as diretrizes da Lei Geral de Proteção de Dados (LGPD).
*   **RNF05 - Facilidade de Aprendizado (Learnability):** O sistema deve possuir uma interface autoexplicativa que permita a um novo membro da assessoria realizar tarefas básicas de atualização cadastral sem a necessidade de treinamentos formais superiores a 1 hora.</t>
  </si>
  <si>
    <t>Robusta em funcionalidades e contemplou perfeitamente a LGPD, porém perdeu apenas para a iteração 2 por não detalhar tão bem a gestão de arquivos anexos.</t>
  </si>
  <si>
    <t xml:space="preserve">### Requisitos Funcionais (RF)
*   **RF01 - Cadastro Unificado de Membros:** O sistema deve permitir o cadastro, edição, consulta e exclusão de dados pessoais e acadêmicos dos membros e trainees da &lt;Empresa Júnior&gt;.
*   **RF02 - Associação de Cargos e Assessorias:** O sistema deve permitir vincular cada membro aos seus respectivos cargos e às assessorias (departamentos) às quais pertencem.
*   **RF03 - Registro de Participação em Projetos:** O sistema deve permitir o registro e a consulta da participação de cada membro nos projetos da &lt;Empresa Júnior&gt;, detalhando sua atuação nas etapas de Pesquisa, Prototipação, Desenvolvimento ou Entrega e Suporte.
*   **RF04 - Acompanhamento de Trainees:** O sistema deve disponibilizar um módulo para o gerenciamento de trainees, permitindo registrar o cargo pretendido, o progresso no treinamento técnico, as tarefas realizadas e o histórico de feedbacks recebidos.
*   **RF05 - Histórico de Movimentação de Membros:** O sistema deve registrar e manter o histórico cronológico de evolução de cada membro na &lt;Empresa Júnior&gt;, incluindo promoções, mudanças de cargo, desligamentos e avaliações de desempenho.
*   **RF06 - Autenticação Unificada (Single Sign-On):** O sistema deve possuir um mecanismo de login único que permita o acesso a todas as funcionalidades de gestão de pessoas sem a necessidade de múltiplos logins.
*   **RF07 - Controle de Acesso Baseado em Perfis:** O sistema deve permitir a atribuição de permissões de acesso diferenciadas (leitura, escrita, administração) conforme a função do usuário (ex: Assessora de GP, Diretoria, Membro, Trainee).
*   **RF08 - Geração de Relatórios de Desempenho:** O sistema deve permitir a geração de relatórios consolidados sobre a evolução dos trainees, histórico de membros e alocação de pessoal em projetos e assessorias.
*   **RF09 - Integração com Ferramentas Externas:** O sistema deve integrar-se, via API ou sincronização direta, com Notion, Google Planilhas, Google Docs e Google Drive para centralizar o acesso a documentos e planilhas de GP.
*   **RF10 - Filtros e Busca Avançada:** O sistema deve disponibilizar uma ferramenta de busca rápida e filtros avançados para localizar membros por nome, cargo, assessoria, projeto, status (ativo/inativo) ou tipo de vínculo (membro/trainee).
### Requisitos Não Funcionais (RNF)
*   **RNF01 - Usabilidade e Interface Desktop:** O sistema deve possuir uma interface web intuitiva e otimizada para uso em computadores (desktop), com foco na facilidade de navegação e na redução de cliques para atividades administrativas recorrentes.
*   **RNF02 - Consistência de Dados:** O sistema deve garantir a integridade e a não duplicidade de registros de membros e trainees na base de dados centralizada.
*   **RNF03 - Sincronização em Tempo Real:** As atualizações de dados realizadas no sistema ou nas ferramentas integradas (Notion/Google Workspace) devem ser sincronizadas em tempo real ou em intervalos máximos de 5 minutos.
*   **RNF04 - Desempenho de Consulta:** O tempo de resposta para a busca de membros e geração de relatórios na tela não deve ser superior a 2 segundos sob condições normais de uso.
*   **RNF05 - Disponibilidade:** O sistema deve apresentar alta disponibilidade, com taxa de operação mínima de 99% do tempo, permitindo o acesso remoto contínuo para os membros da assessoria.
*   **RNF06 - Facilidade de Aprendizado (Learnability):** O sistema deve ser projetado de forma que um novo membro da assessoria consiga realizar as tarefas básicas de cadastro e consulta sem a necessidade de treinamentos complexos.
</t>
  </si>
  <si>
    <t>Omitiu completamente a LGPD e a segurança de dados sensíveis. O modelo sofreu contaminação de contexto, sugerindo gerenciar fases técnicas de projetos (RF03) e dados acadêmicos (RF01), extrapolando o escopo de GP.</t>
  </si>
  <si>
    <t>93, 75</t>
  </si>
  <si>
    <t xml:space="preserve"> </t>
  </si>
  <si>
    <t>Avaliação de Personas</t>
  </si>
  <si>
    <t>Persona</t>
  </si>
  <si>
    <t>Clareza</t>
  </si>
  <si>
    <t>Completude</t>
  </si>
  <si>
    <t>Corretude</t>
  </si>
  <si>
    <t>Média</t>
  </si>
  <si>
    <t>Tech Lead de Projetos</t>
  </si>
  <si>
    <t>**Persona: “Tech Lead de Projetos”**
### Papel no negócio
O Tech Lead é o principal responsável por garantir a viabilidade técnica e o planejamento inicial dos projetos, atuando como ponte entre as definições comerciais, as necessidades dos clientes e a execução da equipe de desenvolvimento. Sua atuação envolve acompanhar o repositório de código, a documentação técnica, o backlog de atividades, o histórico de tarefas executadas e o cronograma dos projetos.
No contexto do sistema, esse stakeholder é um usuário estratégico que depende de informações históricas e organizacionais para tomar decisões relacionadas ao escopo, estimativas, planejamento e acompanhamento dos projetos. O sistema deve fornecer suporte à definição de requisitos, à geração de cronogramas mais precisos e à consolidação do conhecimento acumulado pela organização.
---
### Perfil do stakeholder
Trata-se de um profissional com perfil analítico, orientado à organização e à tomada de decisão baseada em informações concretas. Demonstra preocupação com previsibilidade, qualidade do planejamento e redução de riscos durante a execução dos projetos.
Suas respostas indicam uma visão sistêmica dos processos da empresa, reconhecendo que muitos dos problemas enfrentados não são apenas tecnológicos, mas também relacionados à ausência de processos estruturados de levantamento de requisitos e gestão do conhecimento.
Apresenta forte interesse em mecanismos que permitam transformar experiências passadas em conhecimento reutilizável, reduzindo a dependência de estimativas subjetivas. Valoriza documentação consistente, histórico de execução e processos padronizados que possam aumentar a confiabilidade dos cronogramas e diminuir retrabalho.
Utiliza predominantemente ferramentas digitais de produtividade e colaboração, como Notion, Google Docs e Google Sheets, demonstrando familiaridade com ambientes de gestão de projetos e documentação.
---
### Objetivos
* Obter maior precisão na definição inicial do escopo dos projetos.
* Reduzir retrabalho causado por mudanças frequentes de requisitos.
* Produzir cronogramas mais realistas e fundamentados em dados históricos.
* Facilitar o acesso ao histórico de tarefas e projetos anteriores.
* Centralizar informações relevantes para gestão técnica dos projetos.
* Melhorar a previsibilidade de prazos e entregas.
* Apoiar a tomada de decisão através de métricas e registros organizados.
* Formalizar processos que atualmente dependem principalmente da experiência individual.
* Aumentar a eficiência do planejamento e acompanhamento dos projetos.
---
### Necessidades explícitas
* Gerenciamento de repositórios de projetos.
* Controle e consulta da documentação técnica.
* Gestão e visualização do backlog.
* Acompanhamento do histórico de tarefas executadas.
* Controle e monitoramento de cronogramas.
* Registro histórico de tarefas semelhantes e seus tempos de execução.
* Disponibilização de dados que auxiliem na elaboração de cronogramas futuros.
* Apoio ao levantamento e definição de requisitos dos projetos.
* Automatização de processos internos relacionados ao planejamento e gestão de projetos.
---
### Necessidades implícitas
* Base histórica estruturada para geração de estimativas mais precisas.
* Repositório organizacional de conhecimento sobre projetos concluídos.
* Rastreabilidade entre requisitos, tarefas e entregas.
* Padronização do processo de definição de escopo.
* Controle de alterações de requisitos ao longo do projeto.
* Indicadores de produtividade e tempo médio de execução por tipo de atividade.
* Redução da dependência do conhecimento individual dos gestores.
* Integração ou consolidação das informações atualmente distribuídas entre diferentes ferramentas.
* Mecanismos de apoio à tomada de decisão durante o planejamento.
* Registro das lições aprendidas e experiências de projetos anteriores.
* Maior transparência sobre a evolução do projeto desde sua contratação até sua execução.
* Ferramentas que auxiliem na mitigação de riscos relacionados a prazo e escopo.
---
### Principais dificuldades
**1. Definição inadequada do escopo inicial**
O stakeholder relata que muitos projetos iniciam com escopo insuficientemente detalhado devido à rapidez do processo comercial e de contratação. Isso gera mudanças posteriores, retrabalho, replanejamento e impacto nos cronogramas.
**2. Falta de histórico estruturado para estimativas**
Atualmente, a elaboração dos cronogramas depende fortemente da experiência pessoal dos responsáveis. A ausência de registros históricos confiáveis dificulta a previsão de esforço e tempo necessários para novas tarefas.
**3. Dependência de conhecimento individual**
Grande parte das decisões de planejamento é baseada na experiência acumulada por indivíduos específicos, tornando o processo menos previsível e mais suscetível a erros.
**4. Processos organizacionais pouco formalizados**
O próprio stakeholder reconhece que os problemas enfrentados exigem a criação de novos processos internos. A falta de padronização dificulta a captura de informações essenciais para planejamento e gestão.
**5. Fragmentação das informações**
As informações encontram-se distribuídas entre diferentes ferramentas e documentos, o que pode dificultar consultas históricas, rastreamento de decisões e reutilização de conhecimento.
**6. Baixa previsibilidade dos projetos**
Como consequência dos problemas anteriores, há dificuldade em estabelecer cronogramas consistentes, aumentando o risco de atrasos, mudanças de prazo e desalinhamento de expectativas com clientes e equipes.
**7. Ausência de suporte sistemático à tomada de decisão**
Faltam mecanismos que transformem dados históricos e experiências anteriores em informações acionáveis para auxiliar o Tech Lead durante a fase de planejamento dos projetos.</t>
  </si>
  <si>
    <t>Assessora de Vendas e Desenvolvedora Front-end da &lt;Empresa Júnior&gt;</t>
  </si>
  <si>
    <t>Persona: “Assessora de Vendas e Desenvolvedora Front-end da &lt;Empresa Júnior&gt;”
Papel no negócio
A Assessora de Vendas e Desenvolvedora Front-end atua em uma posição híbrida, conectando as áreas comercial e técnica da &lt;Empresa Júnior&gt;. Sua responsabilidade envolve identificar oportunidades de negócio, prospectar clientes, acompanhar o funil de vendas, organizar reuniões de diagnóstico e negociação, além de colaborar na elaboração de propostas comerciais e no desenvolvimento de soluções digitais.
Sua relação com o sistema é estratégica, pois ele deve servir como uma plataforma central para gestão de leads, acompanhamento de negociações, armazenamento de conhecimento organizacional, documentação de reuniões, gerenciamento de propostas e integração entre as equipes de vendas e projetos. O sistema também deve apoiar a execução de atividades operacionais repetitivas por meio de automação, aumentando a produtividade da assessoria de vendas.
Perfil do stakeholder
Trata-se de uma profissional com perfil multifuncional, orientada a resultados e eficiência operacional. Demonstra forte preocupação com a produtividade da equipe comercial, a organização da informação e a redução de tarefas manuais. Possui familiaridade com ferramentas digitais e processos tecnológicos, utilizando diferentes plataformas para prospecção, comunicação, documentação e acompanhamento de vendas.
Apresenta uma visão sistêmica dos processos da &lt;Empresa Júnior&gt;, identificando claramente os impactos que falhas de integração geram no desempenho comercial. Valoriza a centralização das informações, a automação de atividades repetitivas e a preservação do conhecimento organizacional.
Seu comportamento sugere características como:
Organização e foco em processos;
Orientação a metas e resultados comerciais;
Familiaridade com tecnologia e sistemas digitais;
Capacidade analítica para acompanhar indicadores e progresso dos leads;
Preocupação com segurança da informação;
Busca constante por otimização de fluxos de trabalho;
Necessidade de colaboração entre áreas técnicas e comerciais.
As atividades desempenhadas ocorrem continuamente ao longo do ano, exigindo acesso frequente às informações e acompanhamento constante dos processos comerciais.
Objetivos
O stakeholder espera que o sistema:
Centralize em um único ambiente as atividades atualmente distribuídas entre diversas ferramentas.
Automatize tarefas repetitivas relacionadas à prospecção e ao acompanhamento de leads.
Facilite o gerenciamento completo do funil de vendas.
Melhore a rastreabilidade das interações com clientes.
Permita armazenar e recuperar facilmente atas, propostas e documentos históricos.
Integre informações de vendas e projetos.
Reduza a perda de conhecimento organizacional.
Aumente a produtividade dos assessores de vendas.
Apoie o alcance das metas anuais da &lt;Empresa Júnior&gt; por meio de maior eficiência comercial.
Garanta segurança e proteção dos dados dos clientes.
Necessidades explícitas
Demandas diretamente expressas durante a entrevista:
Gestão de contatos para prospecção de leads.
Controle e armazenamento de contratos.
Gerenciamento de planilhas e dados operacionais.
Acompanhamento completo do pipeline de vendas.
Registro do primeiro contato com potenciais clientes.
Controle das etapas de diagnóstico, proposta e negociação.
Centralização das informações atualmente distribuídas entre Pipefy, Notion, Apollo e Figma.
Armazenamento de atas de reuniões.
Armazenamento de propostas comerciais.
Recuperação de propostas antigas de forma simples.
Gestão integrada dos dados e do conhecimento organizacional.
Automação de processos comerciais.
Acompanhamento do andamento dos processos de vendas.
Operação adequada aos processos específicos da &lt;Empresa Júnior&gt;.
Segurança e proteção dos dados dos clientes.
Acesso ao sistema por computadores pessoais dos membros.
Necessidades implícitas
Demandas inferidas a partir do relato do stakeholder:
Integração entre CRM, documentação e gestão de projetos.
Histórico completo de interações com clientes.
Base centralizada de conhecimento comercial.
Eliminação de retrabalho causado por atualização manual em múltiplos sistemas.
Sincronização automática entre atividades comerciais e documentação.
Controle de versionamento de propostas e documentos.
Busca rápida por clientes, propostas e registros históricos.
Padronização dos processos de vendas da &lt;Empresa Júnior&gt;.
Redução da dependência de conhecimento individual dos membros.
Facilidade de treinamento e transição de novos integrantes.
Painéis de acompanhamento de desempenho comercial.
Indicadores do funil de vendas e conversão de leads.
Notificações e lembretes de atividades pendentes.
Controle de acesso baseado em perfis de usuário.
Auditoria de alterações realizadas nos dados.
Escalabilidade para acompanhar o crescimento da &lt;Empresa Júnior&gt;.
Registro estruturado de reuniões e negociações.
Melhor colaboração entre equipes de vendas e desenvolvimento.
Preservação do histórico institucional ao longo das gestões da empresa júnior.
Principais dificuldades
Os principais problemas enfrentados atualmente pelo stakeholder e que o sistema pode mitigar são:
Fragmentação das informações
Os dados estão distribuídos entre Apollo, Pipefy, Notion, Figma e outras ferramentas, dificultando a gestão integrada dos processos.
Atualização inconsistente do pipeline
Como as atividades ocorrem em diferentes plataformas, o funil de vendas nem sempre é atualizado corretamente.
Retrabalho operacional
Informações precisam ser registradas manualmente em mais de um sistema.
Dificuldade de recuperação de conhecimento
Propostas anteriores não são armazenadas de maneira centralizada, tornando difícil localizar materiais históricos.
Baixa integração entre áreas
Existe uma desconexão entre informações de vendas, documentação e planejamento de projetos.
Dependência excessiva de ferramentas externas
O processo comercial depende de múltiplos sistemas especializados que não compartilham dados adequadamente.
Perda de produtividade
O tempo gasto alternando entre plataformas reduz a capacidade de prospecção e acompanhamento de leads.
Risco de perda ou dispersão de informações
Informações importantes podem ficar isoladas em ferramentas específicas ou com membros individuais.
Ausência de automação suficiente
Atividades repetitivas consomem tempo que poderia ser dedicado à geração de novos negócios.
Preocupação com segurança dos dados
O tratamento de informações de clientes exige mecanismos robustos de proteção, controle de acesso e prevenção de vazamentos.
Em síntese, esta persona representa uma profissional orientada à eficiência comercial e à integração de processos, que necessita de uma plataforma centralizada, segura e automatizada para maximizar a produtividade da equipe de vendas e preservar o conhecimento organizacional da &lt;Empresa Júnior&gt;.</t>
  </si>
  <si>
    <t>Assessora de Gestão de Pessoas 1</t>
  </si>
  <si>
    <t xml:space="preserve">Persona: “Assessora de Gestão de Pessoas”
Papel no negócio: A Assessora de Gestão de Pessoas é responsável por administrar, organizar e garantir a integridade das informações relacionadas aos membros da Empresa Júnior, incluindo dados pessoais sensíveis, registros administrativos, documentos formais, termos, contratos e indicadores de clima organizacional. Sua atuação envolve tanto a manutenção da conformidade e segurança dos dados quanto o acompanhamento do bem-estar e das relações interpessoais dos membros por meio de pesquisas periódicas e indicadores de engajamento. Sua relação com o sistema é central, pois depende dele para armazenar, consultar, atualizar, integrar e automatizar processos relacionados à gestão de pessoas.
Perfil do stakeholder: Trata-se de uma profissional com perfil organizacional e administrativo, orientada à confiabilidade das informações e à eficiência operacional. Demonstra preocupação constante com a segurança de dados pessoais e com a redução de erros humanos decorrentes de processos manuais. Possui forte dependência de ferramentas digitais para execução de suas atividades e valoriza soluções que simplifiquem o gerenciamento de grandes volumes de informações.
Seu padrão de respostas sugere uma usuária prática, focada em resultados, que lida frequentemente com múltiplas demandas simultâneas e necessita de processos padronizados para manter a consistência dos registros. Também demonstra preocupação com a experiência dos membros da organização, utilizando pesquisas e indicadores para compreender o ambiente de trabalho e promover melhorias nas relações internas.
Além disso, apresenta uma postura favorável à automação, enxergando-a como mecanismo para aumentar a produtividade, reduzir retrabalho e minimizar falhas operacionais.
Objetivos:
Centralizar informações dos membros e ex-membros em um ambiente seguro.
Garantir a proteção e o tratamento adequado de dados pessoais sensíveis.
Automatizar processos administrativos relacionados à gestão de pessoas.
Integrar dados provenientes de múltiplos formulários e fontes de informação.
Reduzir o tempo gasto com atividades operacionais e repetitivas.
Melhorar a confiabilidade e a atualização das informações armazenadas.
Facilitar a geração de documentos, termos e registros relacionados aos membros.
Acompanhar indicadores de satisfação, clima organizacional e relacionamento entre equipes.
Possibilitar acesso seguro tanto presencialmente quanto remotamente.
Eliminar dependência excessiva de planilhas e automações instáveis.
Necessidades explícitas:
Cadastro e gerenciamento de dados pessoais dos membros (RG, CPF, endereço, idade e demais informações cadastrais).
Armazenamento e controle de contratos, termos e documentos administrativos.
Registro e acompanhamento de pesquisas de opinião semanais e mensais.
Consolidação de informações provenientes de diversos formulários.
Automação dos processos de coleta, armazenamento e atualização de dados.
Ambiente mais seguro para armazenamento de informações sensíveis.
Correção das falhas recorrentes das automações atualmente utilizadas.
Possibilidade de exclusão efetiva de dados sensíveis quando necessário.
Utilização do sistema em computadores da sede e em dispositivos pessoais remotamente.
Redução de erros humanos no tratamento da base de dados.
Necessidades implícitas:
Controle de acesso baseado em permissões e níveis de usuário.
Registro de auditoria para monitorar alterações realizadas nos dados.
Conformidade com requisitos de privacidade e proteção de dados pessoais (LGPD).
Mecanismos seguros de exclusão definitiva de informações sensíveis.
Integração automática com formulários digitais e futuras ferramentas utilizadas pela organização.
Importação e exportação simplificada de dados.
Painéis de acompanhamento e visualização de indicadores de clima organizacional.
Notificações automáticas para atividades recorrentes, pesquisas e documentos pendentes.
Histórico consolidado dos membros durante sua permanência na organização.
Disponibilidade remota com autenticação segura.
Backup e recuperação de informações críticas.
Redução da dependência de conhecimento técnico para manutenção de automações.
Padronização dos fluxos de cadastro e atualização de dados.
Escalabilidade para crescimento da quantidade de membros e registros.
Principais dificuldades:
Dependência de planilhas do Google como principal repositório de informações sensíveis.
Falhas frequentes nas automações utilizadas para gerenciar dados.
Dificuldade em remover definitivamente informações pessoais devido ao histórico das ferramentas atuais.
Necessidade de consolidar manualmente dados oriundos de diversos formulários.
Alto risco de erros humanos durante a manipulação e atualização dos registros.
Retrabalho causado pela fragmentação das informações em diferentes fontes.
Processo operacional lento para geração e gerenciamento de documentos administrativos.
Falta de centralização das informações relacionadas aos membros.
Risco de inconsistências entre bases de dados distintas.
Necessidade constante de acompanhar informações recorrentes ao longo do mês sem ferramentas adequadas de automação e monitoramento.
Resumo da Persona: A Assessora de Gestão de Pessoas é uma usuária administrativa intensiva que atua como guardiã dos dados dos membros da Empresa Júnior. Seu principal desafio é administrar informações sensíveis de forma segura, eficiente e integrada. O sistema ideal para essa persona deve priorizar automação, centralização de dados, segurança da informação, conformidade com privacidade, integração entre formulários e redução de tarefas manuais, permitindo que ela concentre esforços em atividades estratégicas de desenvolvimento e acompanhamento das pessoas da organização.
</t>
  </si>
  <si>
    <t>Líder Técnico do Conhecimento</t>
  </si>
  <si>
    <t>Persona: “Líder Técnico”
Papel no negócio: O Líder Técnico é responsável por coordenar os aspectos técnicos dos projetos, garantindo a qualidade, organização e disponibilidade dos artefatos produzidos pela equipe, especialmente códigos-fonte e documentações. Atua como referência técnica para os demais membros, definindo padrões, acompanhando a evolução dos projetos e assegurando que o conhecimento gerado seja preservado e compartilhado adequadamente. Sua relação com o sistema é estratégica, pois ele depende de uma plataforma centralizada para registrar, organizar, consultar e disseminar conhecimento técnico entre os integrantes da organização.
Perfil do stakeholder: Profissional com perfil analítico, orientado à eficiência e à organização da informação. Demonstra preocupação com a gestão do conhecimento e com a continuidade das informações produzidas pela equipe. Valoriza processos simples e produtivos, evitando burocracias e etapas que não agreguem valor ao trabalho já realizado. Possui familiaridade com ferramentas digitais de documentação e colaboração, como Notion e armazenamento em nuvem, e realiza suas atividades predominantemente em computadores pessoais. Busca soluções que reduzam retrabalho, facilitem o compartilhamento de informações e minimizem erros humanos. Suas demandas ocorrem regularmente, em ciclos semanais, exigindo acesso constante a registros técnicos atualizados.
Objetivos:
Centralizar códigos, documentações e registros técnicos em uma única plataforma.
Facilitar a gestão e a disseminação do conhecimento entre os membros da equipe.
Reduzir o tempo gasto com tarefas repetitivas relacionadas à documentação e organização de informações.
Minimizar erros decorrentes de processos manuais e descentralizados.
Garantir que informações importantes permaneçam acessíveis e atualizadas.
Melhorar a colaboração entre diferentes integrantes do projeto.
Manter fluxos de trabalho simples, sem introduzir burocracias desnecessárias.
Necessidades explícitas:
Gerenciamento centralizado de códigos e documentações.
Ferramentas para gestão do conhecimento.
Ambiente único para armazenar e organizar informações atualmente dispersas entre Notion, PDFs e Drive.
Automatização de atividades repetitivas para reduzir tempo e erros humanos.
Utilização do sistema em computadores pessoais.
Preservação do fluxo de trabalho existente, evitando etapas adicionais desnecessárias.
Suporte às demandas semanais relacionadas ao acompanhamento técnico dos projetos.
Necessidades implícitas:
Controle de versões e histórico de alterações em documentos e conteúdos técnicos.
Compartilhamento colaborativo de conhecimento entre diferentes membros da equipe.
Padronização da documentação produzida pela organização.
Busca rápida e eficiente por informações técnicas.
Repositório institucional para evitar perda de conhecimento quando membros deixam a equipe.
Integração entre documentação e artefatos técnicos dos projetos.
Controle de acesso e permissões para diferentes perfis de usuários.
Rastreabilidade das contribuições realizadas por cada integrante.
Redução da dependência de múltiplas ferramentas desconectadas.
Disponibilidade e acesso simplificado às informações relevantes para tomada de decisões técnicas.
Principais dificuldades:
Fragmentação das informações entre diferentes ferramentas e repositórios.
Ausência de um ambiente centralizado para armazenar e gerenciar conhecimento técnico.
Dificuldade em manter documentações sincronizadas e atualizadas entre diferentes pessoas.
Risco de perda, duplicação ou inconsistência de informações devido ao uso de documentos distribuídos.
Tempo excessivo gasto organizando, procurando e consolidando conteúdos técnicos.
Dependência de processos manuais suscetíveis a erros humanos.
Falta de visibilidade consolidada sobre o conhecimento produzido pela equipe.
Possíveis dificuldades de colaboração e transferência de conhecimento entre membros do projeto.
Necessidade de equilibrar organização da informação com a manutenção de um fluxo de trabalho simples e eficiente.</t>
  </si>
  <si>
    <t>Assessora de Gestão de Pessoas 2</t>
  </si>
  <si>
    <t>Persona: Assessora de Gestão de Pessoas
Papel no negócio: A Assessora de Gestão de Pessoas é responsável por administrar e acompanhar todo o ciclo de vida dos membros da &lt;Empresa Júnior&gt;, desde o ingresso de trainees até o acompanhamento de membros efetivos. Seu trabalho envolve o registro, atualização e consulta de informações relacionadas aos integrantes da empresa, incluindo dados pessoais, cargos ocupados, participação em assessorias e projetos, além do monitoramento do processo de treinamento, feedbacks e avaliações. O sistema exerce um papel central em sua rotina, pois deve servir como principal ferramenta para consolidar informações, reduzir tarefas operacionais e apoiar a tomada de decisão relacionada à gestão de pessoas.
Perfil do stakeholder
Trata-se de um perfil fortemente orientado à organização, controle de informações e eficiência operacional. Demonstra preocupação com a qualidade dos registros e com a facilidade de acesso aos dados necessários para suas atividades diárias.
Valoriza processos simples, intuitivos e centralizados, evitando desperdício de tempo com atividades repetitivas e navegação entre diferentes plataformas. Embora reconheça que as ferramentas atuais atendam parcialmente às necessidades da assessoria, identifica claramente oportunidades de melhoria por meio da integração e da automação.
É uma usuária frequente do sistema, principalmente em ambiente desktop, realizando consultas e atualizações diariamente. Também demonstra preocupação com a produtividade coletiva da &lt;Empresa Júnior&gt;, entendendo que a redução da carga operacional permite que os membros conciliem melhor suas atividades acadêmicas com as demandas da empresa.
Objetivos
Centralizar todas as informações relacionadas aos membros e trainees em um único sistema.
Eliminar a necessidade de consultar diversas plataformas para encontrar informações.
Realizar o acompanhamento completo do processo de treinamento dos novos membros.
Facilitar a consulta, atualização e gerenciamento dos dados dos integrantes da &lt;Empresa Júnior&gt;.
Reduzir atividades manuais e repetitivas por meio da automação.
Utilizar apenas um login para acessar todas as informações necessárias.
Aumentar a eficiência da gestão de pessoas, especialmente durante processos seletivos, entrada de trainees e períodos de avaliação.
Disponibilizar uma interface simples, intuitiva e de fácil utilização.
Necessidades explícitas
Cadastro e gerenciamento de dados pessoais dos membros.
Registro de cargos ocupados na &lt;Empresa Júnior&gt;.
Controle das assessorias às quais cada membro pertence.
Registro da participação em projetos.
Gerenciamento completo dos trainees, incluindo:
dados pessoais;
cargo escolhido;
tarefas realizadas;
feedbacks;
acompanhamento do treinamento técnico.
Centralização das informações atualmente distribuídas entre Notion, Google Planilhas, Google Docs e Google Drive.
Integração entre essas ferramentas por meio de um sistema único ou APIs.
Autenticação unificada (um único login).
Acesso simplificado às informações.
Interface simples e intuitiva.
Disponibilidade de acesso remoto, com preferência de uso em computador.
Redução de retrabalho.
Eliminação da necessidade de alternar constantemente entre diferentes plataformas.
Necessidades implícitas
Existência de uma base de dados única e consistente, evitando informações duplicadas ou divergentes.
Sincronização automática entre sistemas integrados.
Facilidade para localizar rapidamente informações sobre qualquer membro.
Histórico das movimentações e evolução dos membros ao longo do tempo.
Padronização do armazenamento das informações.
Atualização em tempo real dos registros.
Controle de permissões de acesso conforme a função exercida na &lt;Empresa Júnior&gt;.
Facilidade para geração de consultas e relatórios sobre membros e trainees.
Redução da curva de aprendizado para novos usuários do sistema.
Elevada disponibilidade do sistema, permitindo acesso sempre que necessário.
Interface otimizada para atividades administrativas recorrentes.
Escalabilidade para atender diferentes assessorias da &lt;Empresa Júnior&gt; utilizando a mesma plataforma.
Apoio à tomada de decisão por meio da organização das informações de gestão de pessoas.
Principais dificuldades
A principal dificuldade enfrentada pela Assessora de Gestão de Pessoas é a fragmentação das informações entre diversas plataformas, como Notion, Google Planilhas, Google Docs e Google Drive. Essa dispersão torna a consulta e a atualização dos dados mais lentas, aumenta o tempo gasto na execução das atividades e favorece inconsistências entre registros.
Outro problema recorrente é a necessidade de realizar múltiplos logins e alternar constantemente entre diferentes sistemas para concluir uma única tarefa, comprometendo a produtividade e a experiência de uso.
Além disso, processos importantes, como acompanhamento de trainees, processos seletivos e avaliações periódicas, exigem grande volume de trabalho manual e repetitivo, especialmente em momentos de maior demanda. Esse cenário reduz a eficiência operacional da assessoria e consome tempo que poderia ser direcionado às atividades estratégicas da &lt;Empresa Júnior&gt; e às responsabilidades acadêmicas dos membros.
O sistema ideal para esse stakeholder deve mitigar esses problemas por meio da centralização das informações, integração entre ferramentas, autenticação unificada, automação de processos administrativos e disponibilização de uma interface simples, intuitiva e eficiente.</t>
  </si>
  <si>
    <t>Persona: Gerente de Projetos
Papel no negócio: O Gerente de Projetos é o responsável por coordenar o planejamento, execução, acompanhamento e encerramento dos projetos desenvolvidos pela organização. Atua como principal elo entre o cliente e o squad de desenvolvimento, garantindo que as demandas sejam compreendidas, priorizadas e executadas dentro dos prazos estabelecidos. Além da coordenação da equipe, é responsável pela organização das sprints, distribuição de tarefas, acompanhamento da produtividade, realização de reuniões, documentação das decisões tomadas e manutenção do histórico do projeto. Sua relação com o sistema é central, pois depende dele para consolidar informações estratégicas, acompanhar o andamento das atividades, registrar decisões e facilitar a comunicação entre todos os envolvidos.
Papel no negócio
O Gerente de Projetos exerce uma função estratégica e operacional simultaneamente. É responsável por transformar as necessidades dos clientes em demandas organizadas para a equipe, garantindo alinhamento entre planejamento, execução e entrega. Também atua como gestor do conhecimento do projeto, registrando documentações, decisões e informações relevantes que servirão de base para futuras consultas.
O sistema deve funcionar como sua principal ferramenta de gestão, permitindo visualizar o progresso dos projetos, controlar equipes, organizar cronogramas, armazenar documentos, registrar reuniões e manter todas as informações relacionadas ao projeto centralizadas em um único ambiente.
Perfil do stakeholder
O stakeholder apresenta um perfil altamente organizado, orientado a processos e preocupado com eficiência operacional. Demonstra forte necessidade de controle sobre as informações e valorização da gestão do conhecimento.
Suas respostas indicam um profissional que trabalha diariamente com múltiplas fontes de informação e precisa alternar constantemente entre planejamento, acompanhamento da equipe e comunicação com clientes.
É um usuário intensivo de ferramentas digitais e possui familiaridade com plataformas de gerenciamento de projetos. Entretanto, demonstra insatisfação com a fragmentação das informações causada pelo uso simultâneo de diversas ferramentas.
Valoriza:
Organização das informações;
Facilidade de acesso aos dados;
Padronização de processos;
Colaboração entre equipes;
Registro permanente das decisões;
Redução do tempo gasto em tarefas administrativas;
Boa experiência de uso.
Também demonstra preocupação com a continuidade do conhecimento dentro da organização, indicando que considera importante preservar o histórico dos projetos para consultas futuras.
Objetivos
O Gerente de Projetos espera que o sistema:
Centralize todas as informações relacionadas aos projetos em uma única plataforma.
Organize demandas dos clientes de maneira estruturada.
Facilite o planejamento e acompanhamento das sprints.
Permita gerenciar equipes e acompanhar a distribuição das atividades.
Armazene documentações e atas de reuniões.
Registre decisões tomadas junto aos clientes.
Reduza o tempo gasto procurando informações.
Melhore a gestão do conhecimento organizacional.
Diminua o tempo necessário para executar atividades administrativas.
Possibilite integração com ferramentas já utilizadas ou ofereça funcionalidades equivalentes.
Forneça uma interface simples e intuitiva.
Necessidades explícitas
As necessidades diretamente mencionadas na entrevista incluem:
Organização das demandas dos clientes.
Organização das sprints dos projetos.
Gerenciamento dos membros do squad.
Gerenciamento de reuniões.
Registro da documentação dos projetos.
Registro das decisões tomadas com os clientes.
Centralização de documentos.
Redução da utilização de múltiplas plataformas.
Utilização do sistema em computadores pessoais, institucionais e da empresa.
Integração com ferramentas como Notion, Trello, Clockify e Google Drive ou incorporação dessas funcionalidades.
Facilidade para localizar informações.
Preservação das informações ao longo do projeto.
Interface de fácil utilização.
Suporte ao uso diário.
Necessidades implícitas
A partir da entrevista, podem ser inferidas as seguintes necessidades:
Controle centralizado do ciclo de vida completo dos projetos.
Visão consolidada do andamento das atividades e do progresso das sprints.
Rastreabilidade das decisões tomadas durante o projeto.
Histórico completo das alterações e documentações.
Redução da duplicidade de informações entre diferentes plataformas.
Compartilhamento seguro de informações entre membros da equipe.
Padronização da documentação dos projetos.
Controle de acesso às informações conforme o papel dos usuários.
Melhor colaboração entre equipe, gerência e cliente.
Mecanismos eficientes de pesquisa e recuperação de documentos.
Redução da sobrecarga cognitiva causada pela troca constante entre diferentes sistemas.
Apoio à gestão do conhecimento institucional para evitar perda de informações em mudanças de equipe.
Aumento da produtividade por meio da automação de tarefas administrativas.
Facilidade de adoção por usuários já acostumados a outras ferramentas de gestão.
Principais dificuldades
Os principais problemas enfrentados pelo Gerente de Projetos que o sistema deve mitigar são:
Fragmentação das informações em diversas plataformas diferentes.
Perda de tempo procurando documentos, tarefas e registros espalhados em diferentes sistemas.
Dificuldade em manter uma visão unificada do projeto.
Complexidade na gestão simultânea de equipe, clientes, reuniões e documentação.
Risco de perda de informações importantes ao longo do projeto.
Baixa eficiência na gestão do conhecimento organizacional.
Sobrecarga operacional decorrente da necessidade de alternar constantemente entre múltiplas ferramentas.
Possibilidade de inconsistências entre informações registradas em plataformas distintas.
Impacto da baixa usabilidade na produtividade da equipe.
Dificuldade em acompanhar continuamente projetos que possuem demandas diárias e grande volume de informações.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</si>
</sst>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2">
    <font>
      <sz val="10.0"/>
      <color rgb="FF000000"/>
      <name val="Arial"/>
      <scheme val="minor"/>
    </font>
    <font>
      <color theme="1"/>
      <name val="Arial"/>
      <scheme val="minor"/>
    </font>
    <font>
      <b/>
      <sz val="20.0"/>
      <color rgb="FF445E91"/>
      <name val="Montserrat"/>
    </font>
    <font>
      <b/>
      <sz val="10.0"/>
      <color rgb="FFFFFFFF"/>
      <name val="Montserrat"/>
    </font>
    <font>
      <sz val="10.0"/>
      <color theme="1"/>
      <name val="Roboto"/>
    </font>
    <font>
      <b/>
      <sz val="10.0"/>
      <color theme="1"/>
      <name val="Roboto"/>
    </font>
    <font>
      <b/>
      <color theme="1"/>
      <name val="Arial"/>
      <scheme val="minor"/>
    </font>
    <font>
      <color theme="1"/>
      <name val="Roboto"/>
    </font>
    <font>
      <b/>
      <color theme="1"/>
      <name val="Roboto"/>
    </font>
    <font>
      <b/>
      <sz val="14.0"/>
      <color rgb="FF425D90"/>
      <name val="Montserrat"/>
    </font>
    <font>
      <b/>
      <color rgb="FFFFFFFF"/>
      <name val="Montserrat"/>
    </font>
    <font>
      <color rgb="FF1A1B20"/>
      <name val="Roboto"/>
    </font>
  </fonts>
  <fills count="9">
    <fill>
      <patternFill patternType="none"/>
    </fill>
    <fill>
      <patternFill patternType="lightGray"/>
    </fill>
    <fill>
      <patternFill patternType="solid">
        <fgColor rgb="FF445E91"/>
        <bgColor rgb="FF445E91"/>
      </patternFill>
    </fill>
    <fill>
      <patternFill patternType="solid">
        <fgColor rgb="FF999999"/>
        <bgColor rgb="FF999999"/>
      </patternFill>
    </fill>
    <fill>
      <patternFill patternType="solid">
        <fgColor rgb="FFCCFFCC"/>
        <bgColor rgb="FFCCFFCC"/>
      </patternFill>
    </fill>
    <fill>
      <patternFill patternType="solid">
        <fgColor rgb="FFE5CCFF"/>
        <bgColor rgb="FFE5CCFF"/>
      </patternFill>
    </fill>
    <fill>
      <patternFill patternType="solid">
        <fgColor rgb="FFF8F8FF"/>
        <bgColor rgb="FFF8F8FF"/>
      </patternFill>
    </fill>
    <fill>
      <patternFill patternType="solid">
        <fgColor rgb="FFFFFFFF"/>
        <bgColor rgb="FFFFFFFF"/>
      </patternFill>
    </fill>
    <fill>
      <patternFill patternType="solid">
        <fgColor rgb="FF425D90"/>
        <bgColor rgb="FF425D90"/>
      </patternFill>
    </fill>
  </fills>
  <borders count="3">
    <border/>
    <border>
      <left style="thin">
        <color rgb="FF000000"/>
      </left>
      <right style="thin">
        <color rgb="FF000000"/>
      </right>
      <top style="thin">
        <color rgb="FF000000"/>
      </top>
      <bottom style="thin">
        <color rgb="FF000000"/>
      </bottom>
    </border>
    <border>
      <left style="thin">
        <color rgb="FF73777E"/>
      </left>
      <right style="thin">
        <color rgb="FF73777E"/>
      </right>
      <top style="thin">
        <color rgb="FF73777E"/>
      </top>
      <bottom style="thin">
        <color rgb="FF73777E"/>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0" fontId="1" numFmtId="0" xfId="0" applyBorder="1" applyFont="1"/>
    <xf borderId="1" fillId="0" fontId="1" numFmtId="0" xfId="0" applyAlignment="1" applyBorder="1" applyFont="1">
      <alignment shrinkToFit="0" wrapText="0"/>
    </xf>
    <xf borderId="1" fillId="0" fontId="1" numFmtId="0" xfId="0" applyAlignment="1" applyBorder="1" applyFont="1">
      <alignment readingOrder="0"/>
    </xf>
    <xf borderId="1" fillId="0" fontId="2" numFmtId="0" xfId="0" applyAlignment="1" applyBorder="1" applyFont="1">
      <alignment readingOrder="0" vertical="center"/>
    </xf>
    <xf borderId="1" fillId="0" fontId="2" numFmtId="0" xfId="0" applyAlignment="1" applyBorder="1" applyFont="1">
      <alignment vertical="center"/>
    </xf>
    <xf borderId="1" fillId="0" fontId="2" numFmtId="0" xfId="0" applyAlignment="1" applyBorder="1" applyFont="1">
      <alignment shrinkToFit="0" vertical="center" wrapText="0"/>
    </xf>
    <xf borderId="1" fillId="0" fontId="1" numFmtId="2" xfId="0" applyAlignment="1" applyBorder="1" applyFont="1" applyNumberFormat="1">
      <alignment readingOrder="0"/>
    </xf>
    <xf borderId="1" fillId="2" fontId="3" numFmtId="0" xfId="0" applyAlignment="1" applyBorder="1" applyFill="1" applyFont="1">
      <alignment horizontal="center" readingOrder="0" shrinkToFit="0" vertical="center" wrapText="1"/>
    </xf>
    <xf borderId="1" fillId="2" fontId="3" numFmtId="0" xfId="0" applyAlignment="1" applyBorder="1" applyFont="1">
      <alignment horizontal="center" readingOrder="0" shrinkToFit="0" vertical="center" wrapText="0"/>
    </xf>
    <xf borderId="1" fillId="2" fontId="3" numFmtId="0" xfId="0" applyAlignment="1" applyBorder="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0" fontId="4" numFmtId="0" xfId="0" applyAlignment="1" applyBorder="1" applyFont="1">
      <alignment horizontal="left" readingOrder="0" vertical="center"/>
    </xf>
    <xf borderId="1" fillId="0" fontId="4" numFmtId="0" xfId="0" applyAlignment="1" applyBorder="1" applyFont="1">
      <alignment horizontal="center" readingOrder="0" vertical="center"/>
    </xf>
    <xf borderId="1" fillId="0" fontId="4" numFmtId="0" xfId="0" applyAlignment="1" applyBorder="1" applyFont="1">
      <alignment horizontal="left" readingOrder="0" shrinkToFit="0" vertical="center" wrapText="0"/>
    </xf>
    <xf borderId="1" fillId="0" fontId="4" numFmtId="0" xfId="0" applyAlignment="1" applyBorder="1" applyFont="1">
      <alignment horizontal="right" readingOrder="0" vertical="center"/>
    </xf>
    <xf borderId="1" fillId="0" fontId="4"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center" wrapText="1"/>
    </xf>
    <xf borderId="1" fillId="0" fontId="1" numFmtId="0" xfId="0" applyAlignment="1" applyBorder="1" applyFont="1">
      <alignment horizontal="right" readingOrder="0"/>
    </xf>
    <xf borderId="1" fillId="0" fontId="5" numFmtId="0" xfId="0" applyAlignment="1" applyBorder="1" applyFont="1">
      <alignment horizontal="left" readingOrder="0" vertical="center"/>
    </xf>
    <xf borderId="1" fillId="0" fontId="5" numFmtId="0" xfId="0" applyAlignment="1" applyBorder="1" applyFont="1">
      <alignment horizontal="center" readingOrder="0" vertical="center"/>
    </xf>
    <xf borderId="1" fillId="0" fontId="5" numFmtId="0" xfId="0" applyAlignment="1" applyBorder="1" applyFont="1">
      <alignment horizontal="left" readingOrder="0" shrinkToFit="0" vertical="center" wrapText="0"/>
    </xf>
    <xf borderId="1" fillId="0" fontId="5" numFmtId="0" xfId="0" applyAlignment="1" applyBorder="1" applyFont="1">
      <alignment horizontal="right" readingOrder="0" vertical="center"/>
    </xf>
    <xf borderId="1" fillId="0" fontId="5"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1" fillId="0" fontId="6" numFmtId="0" xfId="0" applyAlignment="1" applyBorder="1" applyFont="1">
      <alignment horizontal="right" readingOrder="0"/>
    </xf>
    <xf borderId="1" fillId="0" fontId="4" numFmtId="0" xfId="0" applyAlignment="1" applyBorder="1" applyFont="1">
      <alignment horizontal="right" readingOrder="0" shrinkToFit="0" vertical="center" wrapText="1"/>
    </xf>
    <xf borderId="1" fillId="4" fontId="1" numFmtId="0" xfId="0" applyBorder="1" applyFill="1" applyFont="1"/>
    <xf borderId="1" fillId="4" fontId="1" numFmtId="0" xfId="0" applyAlignment="1" applyBorder="1" applyFont="1">
      <alignment readingOrder="0"/>
    </xf>
    <xf borderId="1" fillId="4" fontId="6" numFmtId="0" xfId="0" applyBorder="1" applyFont="1"/>
    <xf borderId="1" fillId="4" fontId="5" numFmtId="0" xfId="0" applyAlignment="1" applyBorder="1" applyFont="1">
      <alignment horizontal="left" readingOrder="0" vertical="center"/>
    </xf>
    <xf borderId="1" fillId="4" fontId="5" numFmtId="0" xfId="0" applyAlignment="1" applyBorder="1" applyFont="1">
      <alignment horizontal="center" readingOrder="0" vertical="center"/>
    </xf>
    <xf borderId="1" fillId="4" fontId="5" numFmtId="0" xfId="0" applyAlignment="1" applyBorder="1" applyFont="1">
      <alignment horizontal="left" readingOrder="0" shrinkToFit="0" vertical="center" wrapText="0"/>
    </xf>
    <xf borderId="1" fillId="4" fontId="5" numFmtId="0" xfId="0" applyAlignment="1" applyBorder="1" applyFont="1">
      <alignment horizontal="right" readingOrder="0" vertical="center"/>
    </xf>
    <xf borderId="1" fillId="4" fontId="5" numFmtId="0" xfId="0" applyAlignment="1" applyBorder="1" applyFont="1">
      <alignment horizontal="left" readingOrder="0" shrinkToFit="0" vertical="center" wrapText="1"/>
    </xf>
    <xf borderId="1" fillId="4" fontId="5" numFmtId="0" xfId="0" applyAlignment="1" applyBorder="1" applyFont="1">
      <alignment horizontal="left" readingOrder="0" shrinkToFit="0" vertical="center" wrapText="1"/>
    </xf>
    <xf borderId="1" fillId="4" fontId="6" numFmtId="0" xfId="0" applyAlignment="1" applyBorder="1" applyFont="1">
      <alignment horizontal="right" readingOrder="0"/>
    </xf>
    <xf borderId="1" fillId="4" fontId="6" numFmtId="0" xfId="0" applyAlignment="1" applyBorder="1" applyFont="1">
      <alignment readingOrder="0"/>
    </xf>
    <xf borderId="1" fillId="0" fontId="5" numFmtId="0" xfId="0" applyAlignment="1" applyBorder="1" applyFont="1">
      <alignment horizontal="right" readingOrder="0" shrinkToFit="0" vertical="center" wrapText="1"/>
    </xf>
    <xf borderId="1" fillId="0" fontId="6" numFmtId="0" xfId="0" applyBorder="1" applyFont="1"/>
    <xf borderId="1" fillId="0" fontId="4" numFmtId="0" xfId="0" applyAlignment="1" applyBorder="1" applyFont="1">
      <alignment horizontal="left" shrinkToFit="0" vertical="center" wrapText="1"/>
    </xf>
    <xf borderId="1" fillId="5" fontId="5" numFmtId="0" xfId="0" applyAlignment="1" applyBorder="1" applyFill="1" applyFont="1">
      <alignment horizontal="left" readingOrder="0" shrinkToFit="0" vertical="center" wrapText="1"/>
    </xf>
    <xf borderId="1" fillId="5" fontId="5" numFmtId="0" xfId="0" applyAlignment="1" applyBorder="1" applyFont="1">
      <alignment horizontal="right" readingOrder="0" shrinkToFit="0" vertical="center" wrapText="1"/>
    </xf>
    <xf borderId="1" fillId="5" fontId="6" numFmtId="0" xfId="0" applyAlignment="1" applyBorder="1" applyFont="1">
      <alignment horizontal="right" readingOrder="0"/>
    </xf>
    <xf borderId="1" fillId="6" fontId="7" numFmtId="0" xfId="0" applyAlignment="1" applyBorder="1" applyFill="1" applyFont="1">
      <alignment readingOrder="0" shrinkToFit="0" wrapText="1"/>
    </xf>
    <xf borderId="1" fillId="6" fontId="7" numFmtId="0" xfId="0" applyAlignment="1" applyBorder="1" applyFont="1">
      <alignment readingOrder="0" shrinkToFit="0" wrapText="1"/>
    </xf>
    <xf borderId="1" fillId="6" fontId="7" numFmtId="0" xfId="0" applyAlignment="1" applyBorder="1" applyFont="1">
      <alignment horizontal="right" readingOrder="0" shrinkToFit="0" wrapText="1"/>
    </xf>
    <xf borderId="1" fillId="7" fontId="8" numFmtId="0" xfId="0" applyAlignment="1" applyBorder="1" applyFill="1" applyFont="1">
      <alignment readingOrder="0" shrinkToFit="0" wrapText="1"/>
    </xf>
    <xf borderId="1" fillId="7" fontId="8" numFmtId="0" xfId="0" applyAlignment="1" applyBorder="1" applyFont="1">
      <alignment readingOrder="0" shrinkToFit="0" wrapText="1"/>
    </xf>
    <xf borderId="1" fillId="7" fontId="7" numFmtId="0" xfId="0" applyAlignment="1" applyBorder="1" applyFont="1">
      <alignment horizontal="right" readingOrder="0" shrinkToFit="0" wrapText="1"/>
    </xf>
    <xf borderId="1" fillId="7" fontId="7" numFmtId="0" xfId="0" applyAlignment="1" applyBorder="1" applyFont="1">
      <alignment readingOrder="0" shrinkToFit="0" wrapText="1"/>
    </xf>
    <xf borderId="1" fillId="7" fontId="7" numFmtId="0" xfId="0" applyAlignment="1" applyBorder="1" applyFont="1">
      <alignment readingOrder="0" shrinkToFit="0" wrapText="1"/>
    </xf>
    <xf borderId="1" fillId="0" fontId="4" numFmtId="0" xfId="0" applyAlignment="1" applyBorder="1" applyFont="1">
      <alignment horizontal="left" vertical="center"/>
    </xf>
    <xf borderId="1" fillId="0" fontId="4" numFmtId="0" xfId="0" applyAlignment="1" applyBorder="1" applyFont="1">
      <alignment horizontal="center" vertical="center"/>
    </xf>
    <xf borderId="1" fillId="0" fontId="4" numFmtId="0" xfId="0" applyAlignment="1" applyBorder="1" applyFont="1">
      <alignment horizontal="left" shrinkToFit="0" vertical="center" wrapText="0"/>
    </xf>
    <xf borderId="1" fillId="0" fontId="4" numFmtId="0" xfId="0" applyAlignment="1" applyBorder="1" applyFont="1">
      <alignment horizontal="right" vertical="center"/>
    </xf>
    <xf borderId="0" fillId="0" fontId="9" numFmtId="0" xfId="0" applyFont="1"/>
    <xf borderId="2" fillId="8" fontId="10" numFmtId="0" xfId="0" applyBorder="1" applyFill="1" applyFont="1"/>
    <xf borderId="2" fillId="0" fontId="11" numFmtId="0" xfId="0" applyAlignment="1" applyBorder="1" applyFont="1">
      <alignment readingOrder="0"/>
    </xf>
    <xf borderId="2" fillId="0" fontId="11" numFmtId="0" xfId="0" applyAlignment="1" applyBorder="1" applyFont="1">
      <alignment readingOrder="0" shrinkToFit="0" wrapText="0"/>
    </xf>
    <xf borderId="2" fillId="0" fontId="11" numFmtId="164" xfId="0" applyBorder="1" applyFont="1" applyNumberFormat="1"/>
    <xf borderId="2" fillId="0" fontId="11" numFmtId="0" xfId="0" applyAlignment="1" applyBorder="1" applyFont="1">
      <alignment readingOrder="0" shrinkToFit="0" wrapText="1"/>
    </xf>
    <xf borderId="0" fillId="0" fontId="1" numFmtId="0" xfId="0" applyAlignment="1" applyFont="1">
      <alignment shrinkToFit="0" wrapText="0"/>
    </xf>
  </cellXfs>
  <cellStyles count="1">
    <cellStyle xfId="0" name="Normal" builtinId="0"/>
  </cellStyles>
  <dxfs count="12">
    <dxf>
      <font/>
      <fill>
        <patternFill patternType="none"/>
      </fill>
      <border/>
    </dxf>
    <dxf>
      <font/>
      <fill>
        <patternFill patternType="solid">
          <fgColor rgb="FF435D90"/>
          <bgColor rgb="FF435D90"/>
        </patternFill>
      </fill>
      <border/>
    </dxf>
    <dxf>
      <font/>
      <fill>
        <patternFill patternType="solid">
          <fgColor rgb="FFF8F8FF"/>
          <bgColor rgb="FFF8F8FF"/>
        </patternFill>
      </fill>
      <border/>
    </dxf>
    <dxf>
      <font/>
      <fill>
        <patternFill patternType="solid">
          <fgColor rgb="FFFFFFFF"/>
          <bgColor rgb="FFFFFFFF"/>
        </patternFill>
      </fill>
      <border/>
    </dxf>
    <dxf>
      <font/>
      <fill>
        <patternFill patternType="solid">
          <fgColor rgb="FFC8DAF8"/>
          <bgColor rgb="FFC8DAF8"/>
        </patternFill>
      </fill>
      <border/>
    </dxf>
    <dxf>
      <font/>
      <fill>
        <patternFill patternType="solid">
          <fgColor rgb="FFCCE5FF"/>
          <bgColor rgb="FFCCE5FF"/>
        </patternFill>
      </fill>
      <border/>
    </dxf>
    <dxf>
      <font/>
      <fill>
        <patternFill patternType="solid">
          <fgColor rgb="FFCCFFCC"/>
          <bgColor rgb="FFCCFFCC"/>
        </patternFill>
      </fill>
      <border/>
    </dxf>
    <dxf>
      <font/>
      <fill>
        <patternFill patternType="solid">
          <fgColor rgb="FFFFFFCC"/>
          <bgColor rgb="FFFFFFCC"/>
        </patternFill>
      </fill>
      <border/>
    </dxf>
    <dxf>
      <font/>
      <fill>
        <patternFill patternType="solid">
          <fgColor rgb="FFFFE5CC"/>
          <bgColor rgb="FFFFE5CC"/>
        </patternFill>
      </fill>
      <border/>
    </dxf>
    <dxf>
      <font/>
      <fill>
        <patternFill patternType="solid">
          <fgColor rgb="FFE5CCFF"/>
          <bgColor rgb="FFE5CCFF"/>
        </patternFill>
      </fill>
      <border/>
    </dxf>
    <dxf>
      <font/>
      <fill>
        <patternFill patternType="solid">
          <fgColor rgb="FFFFCCE5"/>
          <bgColor rgb="FFFFCCE5"/>
        </patternFill>
      </fill>
      <border/>
    </dxf>
    <dxf>
      <font/>
      <fill>
        <patternFill patternType="solid">
          <fgColor rgb="FF425D90"/>
          <bgColor rgb="FF425D90"/>
        </patternFill>
      </fill>
      <border/>
    </dxf>
  </dxfs>
  <tableStyles count="2">
    <tableStyle count="3" pivot="0" name="Avaliação Requisitos Individuai-style">
      <tableStyleElement dxfId="1" type="headerRow"/>
      <tableStyleElement dxfId="2" type="firstRowStripe"/>
      <tableStyleElement dxfId="3" type="secondRowStripe"/>
    </tableStyle>
    <tableStyle count="3" pivot="0" name="Avaliação Personas-style">
      <tableStyleElement dxfId="1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7:K114"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Avaliação Requisitos Individuai-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B3:G9" displayName="Table_2" name="Table_2" id="2">
  <tableColumns count="6">
    <tableColumn name="Stakeholder" id="1"/>
    <tableColumn name="Persona" id="2"/>
    <tableColumn name="Clareza" id="3"/>
    <tableColumn name="Completude" id="4"/>
    <tableColumn name="Corretude" id="5"/>
    <tableColumn name="Média" id="6"/>
  </tableColumns>
  <tableStyleInfo name="Avaliação Person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2" width="30.75"/>
    <col customWidth="1" min="3" max="3" width="8.25"/>
    <col customWidth="1" min="4" max="4" width="26.88"/>
    <col customWidth="1" min="5" max="5" width="12.25"/>
    <col customWidth="1" min="6" max="6" width="9.63"/>
    <col customWidth="1" min="7" max="7" width="12.63"/>
    <col customWidth="1" min="8" max="8" width="8.88"/>
    <col customWidth="1" min="9" max="9" width="9.88"/>
    <col customWidth="1" min="10" max="10" width="25.13"/>
  </cols>
  <sheetData>
    <row r="1">
      <c r="A1" s="1"/>
      <c r="B1" s="1"/>
      <c r="C1" s="1"/>
      <c r="D1" s="2"/>
      <c r="E1" s="1"/>
      <c r="F1" s="1"/>
      <c r="G1" s="1"/>
      <c r="H1" s="1"/>
      <c r="I1" s="1"/>
      <c r="J1" s="1"/>
      <c r="K1" s="1"/>
      <c r="L1" s="3" t="s">
        <v>0</v>
      </c>
      <c r="M1" s="1">
        <f>COUNTA(D8:D114)</f>
        <v>30</v>
      </c>
      <c r="N1" s="1"/>
      <c r="O1" s="1"/>
      <c r="P1" s="1"/>
      <c r="Q1" s="1"/>
      <c r="R1" s="1"/>
      <c r="S1" s="1"/>
      <c r="T1" s="1"/>
      <c r="U1" s="1"/>
    </row>
    <row r="2">
      <c r="A2" s="1"/>
      <c r="B2" s="4" t="s">
        <v>1</v>
      </c>
      <c r="C2" s="5"/>
      <c r="D2" s="6"/>
      <c r="E2" s="5"/>
      <c r="F2" s="5"/>
      <c r="G2" s="5"/>
      <c r="H2" s="5"/>
      <c r="I2" s="5"/>
      <c r="J2" s="5"/>
      <c r="K2" s="1"/>
      <c r="L2" s="3" t="s">
        <v>2</v>
      </c>
      <c r="M2" s="1">
        <f>IF(COUNTA(F8:F114)=0, 0, COUNTIF(F8:F114, "Sim") / COUNTA(F8:F114))</f>
        <v>1</v>
      </c>
      <c r="N2" s="1"/>
      <c r="O2" s="1"/>
      <c r="P2" s="1"/>
      <c r="Q2" s="1"/>
      <c r="R2" s="1"/>
      <c r="S2" s="1"/>
      <c r="T2" s="1"/>
      <c r="U2" s="1"/>
    </row>
    <row r="3">
      <c r="A3" s="1"/>
      <c r="B3" s="1"/>
      <c r="C3" s="1"/>
      <c r="D3" s="2"/>
      <c r="E3" s="1"/>
      <c r="F3" s="1"/>
      <c r="G3" s="1"/>
      <c r="H3" s="1"/>
      <c r="I3" s="1"/>
      <c r="J3" s="1"/>
      <c r="K3" s="1"/>
      <c r="L3" s="7" t="s">
        <v>3</v>
      </c>
      <c r="M3" s="1">
        <f>IFERROR(AVERAGE(I8:I114), 0)</f>
        <v>0.4333333333</v>
      </c>
      <c r="N3" s="1"/>
      <c r="O3" s="1"/>
      <c r="P3" s="1"/>
      <c r="Q3" s="1"/>
      <c r="R3" s="1"/>
      <c r="S3" s="1"/>
      <c r="T3" s="1"/>
      <c r="U3" s="1"/>
    </row>
    <row r="4">
      <c r="A4" s="1"/>
      <c r="B4" s="1"/>
      <c r="C4" s="1"/>
      <c r="D4" s="2"/>
      <c r="E4" s="1"/>
      <c r="F4" s="1"/>
      <c r="G4" s="1"/>
      <c r="H4" s="1"/>
      <c r="I4" s="1"/>
      <c r="J4" s="1"/>
      <c r="K4" s="1"/>
      <c r="L4" s="1"/>
      <c r="M4" s="1"/>
      <c r="N4" s="1"/>
      <c r="O4" s="1"/>
      <c r="P4" s="1"/>
      <c r="Q4" s="1"/>
      <c r="R4" s="1"/>
      <c r="S4" s="1"/>
      <c r="T4" s="1"/>
      <c r="U4" s="1"/>
    </row>
    <row r="5">
      <c r="A5" s="1"/>
      <c r="B5" s="1"/>
      <c r="C5" s="1"/>
      <c r="D5" s="2"/>
      <c r="E5" s="1"/>
      <c r="F5" s="1"/>
      <c r="G5" s="1"/>
      <c r="H5" s="1"/>
      <c r="I5" s="1"/>
      <c r="J5" s="3"/>
      <c r="K5" s="1"/>
      <c r="L5" s="1"/>
      <c r="M5" s="1"/>
      <c r="N5" s="1"/>
      <c r="O5" s="1"/>
      <c r="P5" s="1"/>
      <c r="Q5" s="1"/>
      <c r="R5" s="1"/>
      <c r="S5" s="1"/>
      <c r="T5" s="1"/>
      <c r="U5" s="1"/>
    </row>
    <row r="6">
      <c r="A6" s="1"/>
      <c r="B6" s="1"/>
      <c r="C6" s="1"/>
      <c r="D6" s="2"/>
      <c r="E6" s="1"/>
      <c r="F6" s="1"/>
      <c r="G6" s="1"/>
      <c r="H6" s="1"/>
      <c r="I6" s="1"/>
      <c r="J6" s="1"/>
      <c r="K6" s="1"/>
      <c r="L6" s="1">
        <f t="shared" ref="L6:P6" si="1">ROUND(AVERAGE(L8:L37),2)</f>
        <v>93.79</v>
      </c>
      <c r="M6" s="1">
        <f t="shared" si="1"/>
        <v>91.97</v>
      </c>
      <c r="N6" s="1">
        <f t="shared" si="1"/>
        <v>93.28</v>
      </c>
      <c r="O6" s="1">
        <f t="shared" si="1"/>
        <v>90.28</v>
      </c>
      <c r="P6" s="1">
        <f t="shared" si="1"/>
        <v>92.53</v>
      </c>
      <c r="Q6" s="1"/>
      <c r="R6" s="1"/>
      <c r="S6" s="1"/>
      <c r="T6" s="1"/>
      <c r="U6" s="1"/>
    </row>
    <row r="7">
      <c r="A7" s="1"/>
      <c r="B7" s="8" t="s">
        <v>4</v>
      </c>
      <c r="C7" s="8" t="s">
        <v>5</v>
      </c>
      <c r="D7" s="9" t="s">
        <v>6</v>
      </c>
      <c r="E7" s="8" t="s">
        <v>7</v>
      </c>
      <c r="F7" s="8" t="s">
        <v>8</v>
      </c>
      <c r="G7" s="8" t="s">
        <v>9</v>
      </c>
      <c r="H7" s="8" t="s">
        <v>10</v>
      </c>
      <c r="I7" s="8" t="s">
        <v>11</v>
      </c>
      <c r="J7" s="8" t="s">
        <v>12</v>
      </c>
      <c r="K7" s="10"/>
      <c r="L7" s="11" t="s">
        <v>13</v>
      </c>
      <c r="M7" s="11" t="s">
        <v>14</v>
      </c>
      <c r="N7" s="11" t="s">
        <v>15</v>
      </c>
      <c r="O7" s="11" t="s">
        <v>16</v>
      </c>
      <c r="P7" s="11" t="s">
        <v>17</v>
      </c>
      <c r="Q7" s="1"/>
      <c r="R7" s="1"/>
      <c r="S7" s="1"/>
      <c r="T7" s="1"/>
      <c r="U7" s="1"/>
    </row>
    <row r="8" ht="15.75" customHeight="1">
      <c r="A8" s="1"/>
      <c r="B8" s="12" t="s">
        <v>18</v>
      </c>
      <c r="C8" s="13">
        <v>1.0</v>
      </c>
      <c r="D8" s="14" t="s">
        <v>19</v>
      </c>
      <c r="E8" s="13" t="s">
        <v>20</v>
      </c>
      <c r="F8" s="13" t="s">
        <v>21</v>
      </c>
      <c r="G8" s="15">
        <v>12.0</v>
      </c>
      <c r="H8" s="15">
        <v>5.0</v>
      </c>
      <c r="I8" s="15">
        <v>1.0</v>
      </c>
      <c r="J8" s="16" t="s">
        <v>22</v>
      </c>
      <c r="K8" s="17"/>
      <c r="L8" s="18">
        <v>100.0</v>
      </c>
      <c r="M8" s="18">
        <v>94.12</v>
      </c>
      <c r="N8" s="18">
        <v>94.12</v>
      </c>
      <c r="O8" s="18">
        <v>94.12</v>
      </c>
      <c r="P8" s="18">
        <v>100.0</v>
      </c>
      <c r="Q8" s="1"/>
      <c r="R8" s="1"/>
      <c r="S8" s="1">
        <f t="shared" ref="S8:S17" si="2">ROUND((T8/U8)*100,2)</f>
        <v>94.12</v>
      </c>
      <c r="T8" s="3">
        <v>16.0</v>
      </c>
      <c r="U8" s="3">
        <v>17.0</v>
      </c>
    </row>
    <row r="9" ht="15.75" customHeight="1">
      <c r="A9" s="1"/>
      <c r="B9" s="12" t="s">
        <v>18</v>
      </c>
      <c r="C9" s="13">
        <v>2.0</v>
      </c>
      <c r="D9" s="14" t="s">
        <v>23</v>
      </c>
      <c r="E9" s="13" t="s">
        <v>20</v>
      </c>
      <c r="F9" s="13" t="s">
        <v>21</v>
      </c>
      <c r="G9" s="15">
        <v>12.0</v>
      </c>
      <c r="H9" s="15">
        <v>6.0</v>
      </c>
      <c r="I9" s="15">
        <v>2.0</v>
      </c>
      <c r="J9" s="16" t="s">
        <v>24</v>
      </c>
      <c r="K9" s="17"/>
      <c r="L9" s="18">
        <v>94.44</v>
      </c>
      <c r="M9" s="18">
        <v>94.44</v>
      </c>
      <c r="N9" s="18">
        <v>94.44</v>
      </c>
      <c r="O9" s="18">
        <v>94.44</v>
      </c>
      <c r="P9" s="18">
        <v>94.44</v>
      </c>
      <c r="Q9" s="1"/>
      <c r="R9" s="1"/>
      <c r="S9" s="1">
        <f t="shared" si="2"/>
        <v>88.89</v>
      </c>
      <c r="T9" s="3">
        <v>16.0</v>
      </c>
      <c r="U9" s="3">
        <v>18.0</v>
      </c>
    </row>
    <row r="10" ht="15.75" customHeight="1">
      <c r="A10" s="1"/>
      <c r="B10" s="12" t="s">
        <v>18</v>
      </c>
      <c r="C10" s="13">
        <v>3.0</v>
      </c>
      <c r="D10" s="14" t="s">
        <v>25</v>
      </c>
      <c r="E10" s="13" t="s">
        <v>26</v>
      </c>
      <c r="F10" s="13" t="s">
        <v>21</v>
      </c>
      <c r="G10" s="15">
        <v>12.0</v>
      </c>
      <c r="H10" s="15">
        <v>6.0</v>
      </c>
      <c r="I10" s="15">
        <v>3.0</v>
      </c>
      <c r="J10" s="16" t="s">
        <v>27</v>
      </c>
      <c r="K10" s="17"/>
      <c r="L10" s="3">
        <v>83.33</v>
      </c>
      <c r="M10" s="18">
        <v>88.89</v>
      </c>
      <c r="N10" s="18">
        <v>94.44</v>
      </c>
      <c r="O10" s="18">
        <v>94.44</v>
      </c>
      <c r="P10" s="18">
        <v>88.89</v>
      </c>
      <c r="Q10" s="1"/>
      <c r="R10" s="1"/>
      <c r="S10" s="1">
        <f t="shared" si="2"/>
        <v>88.89</v>
      </c>
      <c r="T10" s="3">
        <v>16.0</v>
      </c>
      <c r="U10" s="3">
        <v>18.0</v>
      </c>
    </row>
    <row r="11" ht="15.75" customHeight="1">
      <c r="A11" s="1"/>
      <c r="B11" s="12" t="s">
        <v>18</v>
      </c>
      <c r="C11" s="13">
        <v>4.0</v>
      </c>
      <c r="D11" s="14" t="s">
        <v>28</v>
      </c>
      <c r="E11" s="13" t="s">
        <v>29</v>
      </c>
      <c r="F11" s="13" t="s">
        <v>21</v>
      </c>
      <c r="G11" s="15">
        <v>12.0</v>
      </c>
      <c r="H11" s="15">
        <v>6.0</v>
      </c>
      <c r="I11" s="15">
        <v>1.0</v>
      </c>
      <c r="J11" s="16" t="s">
        <v>22</v>
      </c>
      <c r="K11" s="17"/>
      <c r="L11" s="18">
        <v>100.0</v>
      </c>
      <c r="M11" s="18">
        <v>94.44</v>
      </c>
      <c r="N11" s="3">
        <v>88.89</v>
      </c>
      <c r="O11" s="18">
        <v>94.44</v>
      </c>
      <c r="P11" s="18">
        <v>94.44</v>
      </c>
      <c r="Q11" s="1"/>
      <c r="R11" s="1"/>
      <c r="S11" s="1">
        <f t="shared" si="2"/>
        <v>94.44</v>
      </c>
      <c r="T11" s="3">
        <v>17.0</v>
      </c>
      <c r="U11" s="3">
        <v>18.0</v>
      </c>
    </row>
    <row r="12" ht="15.75" customHeight="1">
      <c r="A12" s="1"/>
      <c r="B12" s="19" t="s">
        <v>18</v>
      </c>
      <c r="C12" s="20">
        <v>5.0</v>
      </c>
      <c r="D12" s="21" t="s">
        <v>30</v>
      </c>
      <c r="E12" s="20" t="s">
        <v>29</v>
      </c>
      <c r="F12" s="20" t="s">
        <v>21</v>
      </c>
      <c r="G12" s="22">
        <v>12.0</v>
      </c>
      <c r="H12" s="22">
        <v>7.0</v>
      </c>
      <c r="I12" s="22">
        <v>1.0</v>
      </c>
      <c r="J12" s="23" t="s">
        <v>31</v>
      </c>
      <c r="K12" s="24"/>
      <c r="L12" s="25">
        <v>100.0</v>
      </c>
      <c r="M12" s="25">
        <v>100.0</v>
      </c>
      <c r="N12" s="25">
        <v>94.74</v>
      </c>
      <c r="O12" s="25">
        <v>94.74</v>
      </c>
      <c r="P12" s="25">
        <v>94.74</v>
      </c>
      <c r="Q12" s="1"/>
      <c r="R12" s="1"/>
      <c r="S12" s="1">
        <f t="shared" si="2"/>
        <v>94.74</v>
      </c>
      <c r="T12" s="3">
        <v>18.0</v>
      </c>
      <c r="U12" s="3">
        <v>19.0</v>
      </c>
    </row>
    <row r="13" ht="15.75" customHeight="1">
      <c r="A13" s="1"/>
      <c r="B13" s="12" t="s">
        <v>32</v>
      </c>
      <c r="C13" s="13">
        <v>1.0</v>
      </c>
      <c r="D13" s="14" t="s">
        <v>33</v>
      </c>
      <c r="E13" s="13" t="s">
        <v>20</v>
      </c>
      <c r="F13" s="13" t="s">
        <v>21</v>
      </c>
      <c r="G13" s="15">
        <v>11.0</v>
      </c>
      <c r="H13" s="15">
        <v>6.0</v>
      </c>
      <c r="I13" s="15">
        <v>0.0</v>
      </c>
      <c r="J13" s="16" t="s">
        <v>34</v>
      </c>
      <c r="K13" s="17"/>
      <c r="L13" s="26">
        <v>100.0</v>
      </c>
      <c r="M13" s="18">
        <v>94.12</v>
      </c>
      <c r="N13" s="18">
        <v>94.12</v>
      </c>
      <c r="O13" s="18">
        <v>94.12</v>
      </c>
      <c r="P13" s="18">
        <v>88.24</v>
      </c>
      <c r="Q13" s="1"/>
      <c r="R13" s="1"/>
      <c r="S13" s="27">
        <f t="shared" si="2"/>
        <v>88.24</v>
      </c>
      <c r="T13" s="28">
        <v>15.0</v>
      </c>
      <c r="U13" s="28">
        <v>17.0</v>
      </c>
    </row>
    <row r="14" ht="15.0" customHeight="1">
      <c r="A14" s="29"/>
      <c r="B14" s="30" t="s">
        <v>35</v>
      </c>
      <c r="C14" s="31">
        <v>2.0</v>
      </c>
      <c r="D14" s="32" t="s">
        <v>36</v>
      </c>
      <c r="E14" s="31" t="s">
        <v>29</v>
      </c>
      <c r="F14" s="31" t="s">
        <v>21</v>
      </c>
      <c r="G14" s="33">
        <v>14.0</v>
      </c>
      <c r="H14" s="33">
        <v>7.0</v>
      </c>
      <c r="I14" s="33">
        <v>0.0</v>
      </c>
      <c r="J14" s="34" t="s">
        <v>37</v>
      </c>
      <c r="K14" s="35"/>
      <c r="L14" s="36">
        <v>100.0</v>
      </c>
      <c r="M14" s="36">
        <v>95.24</v>
      </c>
      <c r="N14" s="37">
        <v>90.48</v>
      </c>
      <c r="O14" s="37">
        <v>90.48</v>
      </c>
      <c r="P14" s="36">
        <v>95.24</v>
      </c>
      <c r="Q14" s="1"/>
      <c r="R14" s="29"/>
      <c r="S14" s="29">
        <f t="shared" si="2"/>
        <v>95.24</v>
      </c>
      <c r="T14" s="37">
        <v>20.0</v>
      </c>
      <c r="U14" s="37">
        <v>21.0</v>
      </c>
    </row>
    <row r="15" ht="15.75" customHeight="1">
      <c r="A15" s="1"/>
      <c r="B15" s="12" t="s">
        <v>32</v>
      </c>
      <c r="C15" s="13">
        <v>3.0</v>
      </c>
      <c r="D15" s="14" t="s">
        <v>38</v>
      </c>
      <c r="E15" s="13" t="s">
        <v>20</v>
      </c>
      <c r="F15" s="13" t="s">
        <v>21</v>
      </c>
      <c r="G15" s="15">
        <v>13.0</v>
      </c>
      <c r="H15" s="15">
        <v>5.0</v>
      </c>
      <c r="I15" s="15">
        <v>0.0</v>
      </c>
      <c r="J15" s="16" t="s">
        <v>39</v>
      </c>
      <c r="K15" s="17"/>
      <c r="L15" s="26">
        <v>100.0</v>
      </c>
      <c r="M15" s="18">
        <v>94.44</v>
      </c>
      <c r="N15" s="18">
        <v>94.44</v>
      </c>
      <c r="O15" s="18">
        <v>94.44</v>
      </c>
      <c r="P15" s="18">
        <v>94.44</v>
      </c>
      <c r="Q15" s="1"/>
      <c r="R15" s="1"/>
      <c r="S15" s="27">
        <f t="shared" si="2"/>
        <v>94.44</v>
      </c>
      <c r="T15" s="28">
        <v>17.0</v>
      </c>
      <c r="U15" s="28">
        <v>18.0</v>
      </c>
    </row>
    <row r="16" ht="15.75" customHeight="1">
      <c r="A16" s="1"/>
      <c r="B16" s="12" t="s">
        <v>40</v>
      </c>
      <c r="C16" s="13">
        <v>4.0</v>
      </c>
      <c r="D16" s="14" t="s">
        <v>41</v>
      </c>
      <c r="E16" s="13" t="s">
        <v>20</v>
      </c>
      <c r="F16" s="13" t="s">
        <v>21</v>
      </c>
      <c r="G16" s="15">
        <v>12.0</v>
      </c>
      <c r="H16" s="15">
        <v>5.0</v>
      </c>
      <c r="I16" s="15">
        <v>0.0</v>
      </c>
      <c r="J16" s="16" t="s">
        <v>42</v>
      </c>
      <c r="K16" s="17"/>
      <c r="L16" s="26">
        <v>100.0</v>
      </c>
      <c r="M16" s="18">
        <v>94.12</v>
      </c>
      <c r="N16" s="18">
        <v>100.0</v>
      </c>
      <c r="O16" s="18">
        <v>100.0</v>
      </c>
      <c r="P16" s="18">
        <v>94.12</v>
      </c>
      <c r="Q16" s="1"/>
      <c r="R16" s="1"/>
      <c r="S16" s="27">
        <f t="shared" si="2"/>
        <v>94.12</v>
      </c>
      <c r="T16" s="28">
        <v>16.0</v>
      </c>
      <c r="U16" s="28">
        <v>17.0</v>
      </c>
    </row>
    <row r="17" ht="15.75" customHeight="1">
      <c r="A17" s="1"/>
      <c r="B17" s="12" t="s">
        <v>40</v>
      </c>
      <c r="C17" s="13">
        <v>5.0</v>
      </c>
      <c r="D17" s="14" t="s">
        <v>43</v>
      </c>
      <c r="E17" s="13" t="s">
        <v>20</v>
      </c>
      <c r="F17" s="13" t="s">
        <v>21</v>
      </c>
      <c r="G17" s="15">
        <v>12.0</v>
      </c>
      <c r="H17" s="15">
        <v>6.0</v>
      </c>
      <c r="I17" s="15">
        <v>0.0</v>
      </c>
      <c r="J17" s="16" t="s">
        <v>44</v>
      </c>
      <c r="K17" s="17"/>
      <c r="L17" s="26">
        <v>94.44</v>
      </c>
      <c r="M17" s="18">
        <v>88.89</v>
      </c>
      <c r="N17" s="18">
        <v>88.89</v>
      </c>
      <c r="O17" s="26">
        <v>94.44</v>
      </c>
      <c r="P17" s="26">
        <v>94.44</v>
      </c>
      <c r="Q17" s="1"/>
      <c r="R17" s="1"/>
      <c r="S17" s="27">
        <f t="shared" si="2"/>
        <v>94.44</v>
      </c>
      <c r="T17" s="28">
        <v>17.0</v>
      </c>
      <c r="U17" s="28">
        <v>18.0</v>
      </c>
    </row>
    <row r="18" ht="15.75" customHeight="1">
      <c r="A18" s="1"/>
      <c r="B18" s="12" t="s">
        <v>45</v>
      </c>
      <c r="C18" s="13">
        <v>1.0</v>
      </c>
      <c r="D18" s="14" t="s">
        <v>46</v>
      </c>
      <c r="E18" s="13" t="s">
        <v>20</v>
      </c>
      <c r="F18" s="13" t="s">
        <v>21</v>
      </c>
      <c r="G18" s="15">
        <v>11.0</v>
      </c>
      <c r="H18" s="15">
        <v>7.0</v>
      </c>
      <c r="I18" s="15">
        <v>0.0</v>
      </c>
      <c r="J18" s="16"/>
      <c r="K18" s="17"/>
      <c r="L18" s="26">
        <v>83.33</v>
      </c>
      <c r="M18" s="18">
        <v>94.44</v>
      </c>
      <c r="N18" s="18">
        <v>94.44</v>
      </c>
      <c r="O18" s="18">
        <v>83.33</v>
      </c>
      <c r="P18" s="18">
        <v>83.33</v>
      </c>
      <c r="Q18" s="1"/>
      <c r="R18" s="1"/>
      <c r="S18" s="1"/>
      <c r="T18" s="1"/>
      <c r="U18" s="1"/>
    </row>
    <row r="19" ht="15.75" customHeight="1">
      <c r="A19" s="1"/>
      <c r="B19" s="12" t="s">
        <v>45</v>
      </c>
      <c r="C19" s="13">
        <v>2.0</v>
      </c>
      <c r="D19" s="14" t="s">
        <v>47</v>
      </c>
      <c r="E19" s="13" t="s">
        <v>29</v>
      </c>
      <c r="F19" s="13" t="s">
        <v>21</v>
      </c>
      <c r="G19" s="15">
        <v>12.0</v>
      </c>
      <c r="H19" s="15">
        <v>6.0</v>
      </c>
      <c r="I19" s="15">
        <v>0.0</v>
      </c>
      <c r="J19" s="16" t="s">
        <v>48</v>
      </c>
      <c r="K19" s="17"/>
      <c r="L19" s="26">
        <v>88.88</v>
      </c>
      <c r="M19" s="18">
        <v>94.44</v>
      </c>
      <c r="N19" s="18">
        <v>94.44</v>
      </c>
      <c r="O19" s="18">
        <v>88.88</v>
      </c>
      <c r="P19" s="18">
        <v>88.88</v>
      </c>
      <c r="Q19" s="1"/>
      <c r="R19" s="1"/>
      <c r="S19" s="1"/>
      <c r="T19" s="1"/>
      <c r="U19" s="1"/>
    </row>
    <row r="20" ht="15.75" customHeight="1">
      <c r="A20" s="1"/>
      <c r="B20" s="12" t="s">
        <v>45</v>
      </c>
      <c r="C20" s="13">
        <v>3.0</v>
      </c>
      <c r="D20" s="14" t="s">
        <v>49</v>
      </c>
      <c r="E20" s="13" t="s">
        <v>20</v>
      </c>
      <c r="F20" s="13" t="s">
        <v>21</v>
      </c>
      <c r="G20" s="15">
        <v>11.0</v>
      </c>
      <c r="H20" s="15">
        <v>6.0</v>
      </c>
      <c r="I20" s="15">
        <v>0.0</v>
      </c>
      <c r="J20" s="16" t="s">
        <v>50</v>
      </c>
      <c r="K20" s="17"/>
      <c r="L20" s="26">
        <v>82.35</v>
      </c>
      <c r="M20" s="18">
        <v>94.12</v>
      </c>
      <c r="N20" s="18">
        <v>94.12</v>
      </c>
      <c r="O20" s="18">
        <v>88.23</v>
      </c>
      <c r="P20" s="18">
        <v>94.12</v>
      </c>
      <c r="Q20" s="1"/>
      <c r="R20" s="1"/>
      <c r="S20" s="1"/>
      <c r="T20" s="1"/>
      <c r="U20" s="1"/>
    </row>
    <row r="21" ht="15.75" customHeight="1">
      <c r="A21" s="1"/>
      <c r="B21" s="19" t="s">
        <v>45</v>
      </c>
      <c r="C21" s="20">
        <v>4.0</v>
      </c>
      <c r="D21" s="21" t="s">
        <v>51</v>
      </c>
      <c r="E21" s="20" t="s">
        <v>29</v>
      </c>
      <c r="F21" s="20" t="s">
        <v>21</v>
      </c>
      <c r="G21" s="22">
        <v>12.0</v>
      </c>
      <c r="H21" s="22">
        <v>7.0</v>
      </c>
      <c r="I21" s="22">
        <v>1.0</v>
      </c>
      <c r="J21" s="23" t="s">
        <v>52</v>
      </c>
      <c r="K21" s="24"/>
      <c r="L21" s="38">
        <v>94.74</v>
      </c>
      <c r="M21" s="25">
        <v>100.0</v>
      </c>
      <c r="N21" s="25">
        <v>89.47</v>
      </c>
      <c r="O21" s="25">
        <v>89.47</v>
      </c>
      <c r="P21" s="25">
        <v>89.47</v>
      </c>
      <c r="Q21" s="39"/>
      <c r="R21" s="39"/>
      <c r="S21" s="39"/>
      <c r="T21" s="39"/>
      <c r="U21" s="3">
        <v>19.0</v>
      </c>
    </row>
    <row r="22" ht="15.75" customHeight="1">
      <c r="A22" s="1"/>
      <c r="B22" s="12" t="s">
        <v>45</v>
      </c>
      <c r="C22" s="13">
        <v>5.0</v>
      </c>
      <c r="D22" s="14" t="s">
        <v>53</v>
      </c>
      <c r="E22" s="13" t="s">
        <v>29</v>
      </c>
      <c r="F22" s="13" t="s">
        <v>21</v>
      </c>
      <c r="G22" s="15">
        <v>11.0</v>
      </c>
      <c r="H22" s="15">
        <v>7.0</v>
      </c>
      <c r="I22" s="15">
        <v>0.0</v>
      </c>
      <c r="J22" s="40"/>
      <c r="K22" s="40"/>
      <c r="L22" s="26">
        <v>94.44</v>
      </c>
      <c r="M22" s="18">
        <v>94.44</v>
      </c>
      <c r="N22" s="18">
        <v>94.44</v>
      </c>
      <c r="O22" s="18">
        <v>83.33</v>
      </c>
      <c r="P22" s="18">
        <v>83.33</v>
      </c>
      <c r="Q22" s="1"/>
      <c r="R22" s="1"/>
      <c r="S22" s="1"/>
      <c r="T22" s="1"/>
      <c r="U22" s="1"/>
    </row>
    <row r="23" ht="15.75" customHeight="1">
      <c r="A23" s="1"/>
      <c r="B23" s="19" t="s">
        <v>54</v>
      </c>
      <c r="C23" s="20">
        <v>1.0</v>
      </c>
      <c r="D23" s="21" t="s">
        <v>55</v>
      </c>
      <c r="E23" s="20" t="s">
        <v>29</v>
      </c>
      <c r="F23" s="20" t="s">
        <v>21</v>
      </c>
      <c r="G23" s="22">
        <v>10.0</v>
      </c>
      <c r="H23" s="22">
        <v>5.0</v>
      </c>
      <c r="I23" s="22">
        <v>0.0</v>
      </c>
      <c r="J23" s="23" t="s">
        <v>56</v>
      </c>
      <c r="K23" s="23"/>
      <c r="L23" s="38">
        <v>93.33</v>
      </c>
      <c r="M23" s="18">
        <v>86.67</v>
      </c>
      <c r="N23" s="18">
        <v>93.33</v>
      </c>
      <c r="O23" s="18">
        <v>93.33</v>
      </c>
      <c r="P23" s="18">
        <v>93.33</v>
      </c>
      <c r="Q23" s="1"/>
      <c r="R23" s="1"/>
      <c r="S23" s="1"/>
      <c r="T23" s="3"/>
      <c r="U23" s="3"/>
    </row>
    <row r="24" ht="15.75" customHeight="1">
      <c r="A24" s="1"/>
      <c r="B24" s="12" t="s">
        <v>54</v>
      </c>
      <c r="C24" s="13">
        <v>2.0</v>
      </c>
      <c r="D24" s="14" t="s">
        <v>57</v>
      </c>
      <c r="E24" s="13" t="s">
        <v>29</v>
      </c>
      <c r="F24" s="13" t="s">
        <v>21</v>
      </c>
      <c r="G24" s="15">
        <v>10.0</v>
      </c>
      <c r="H24" s="15">
        <v>5.0</v>
      </c>
      <c r="I24" s="15">
        <v>0.0</v>
      </c>
      <c r="J24" s="16" t="s">
        <v>58</v>
      </c>
      <c r="K24" s="16"/>
      <c r="L24" s="26">
        <v>100.0</v>
      </c>
      <c r="M24" s="18">
        <v>100.0</v>
      </c>
      <c r="N24" s="18">
        <v>93.33</v>
      </c>
      <c r="O24" s="18">
        <v>93.33</v>
      </c>
      <c r="P24" s="18">
        <v>100.0</v>
      </c>
      <c r="Q24" s="1"/>
      <c r="R24" s="1"/>
      <c r="S24" s="1"/>
      <c r="T24" s="3"/>
      <c r="U24" s="3"/>
    </row>
    <row r="25" ht="15.75" customHeight="1">
      <c r="A25" s="1"/>
      <c r="B25" s="12" t="s">
        <v>54</v>
      </c>
      <c r="C25" s="13">
        <v>3.0</v>
      </c>
      <c r="D25" s="14" t="s">
        <v>59</v>
      </c>
      <c r="E25" s="13" t="s">
        <v>20</v>
      </c>
      <c r="F25" s="13" t="s">
        <v>21</v>
      </c>
      <c r="G25" s="15">
        <v>9.0</v>
      </c>
      <c r="H25" s="15">
        <v>5.0</v>
      </c>
      <c r="I25" s="15">
        <v>1.0</v>
      </c>
      <c r="J25" s="16" t="s">
        <v>60</v>
      </c>
      <c r="K25" s="17"/>
      <c r="L25" s="26">
        <v>92.86</v>
      </c>
      <c r="M25" s="18">
        <v>78.57</v>
      </c>
      <c r="N25" s="18">
        <v>92.86</v>
      </c>
      <c r="O25" s="18">
        <v>85.71</v>
      </c>
      <c r="P25" s="18">
        <v>92.86</v>
      </c>
      <c r="Q25" s="1"/>
      <c r="R25" s="1"/>
      <c r="S25" s="1"/>
      <c r="T25" s="3"/>
      <c r="U25" s="3"/>
    </row>
    <row r="26" ht="15.75" customHeight="1">
      <c r="A26" s="1"/>
      <c r="B26" s="12" t="s">
        <v>54</v>
      </c>
      <c r="C26" s="13">
        <v>4.0</v>
      </c>
      <c r="D26" s="14" t="s">
        <v>61</v>
      </c>
      <c r="E26" s="13" t="s">
        <v>29</v>
      </c>
      <c r="F26" s="13" t="s">
        <v>21</v>
      </c>
      <c r="G26" s="15">
        <v>10.0</v>
      </c>
      <c r="H26" s="15">
        <v>5.0</v>
      </c>
      <c r="I26" s="15">
        <v>0.0</v>
      </c>
      <c r="J26" s="16" t="s">
        <v>62</v>
      </c>
      <c r="K26" s="17"/>
      <c r="L26" s="26">
        <v>93.33</v>
      </c>
      <c r="M26" s="18">
        <v>93.33</v>
      </c>
      <c r="N26" s="18">
        <v>93.33</v>
      </c>
      <c r="O26" s="18">
        <v>93.33</v>
      </c>
      <c r="P26" s="18">
        <v>93.33</v>
      </c>
      <c r="Q26" s="1"/>
      <c r="R26" s="1"/>
      <c r="S26" s="1"/>
      <c r="T26" s="3"/>
      <c r="U26" s="3"/>
    </row>
    <row r="27" ht="15.75" customHeight="1">
      <c r="A27" s="1"/>
      <c r="B27" s="12" t="s">
        <v>54</v>
      </c>
      <c r="C27" s="13">
        <v>5.0</v>
      </c>
      <c r="D27" s="14" t="s">
        <v>63</v>
      </c>
      <c r="E27" s="13" t="s">
        <v>29</v>
      </c>
      <c r="F27" s="13" t="s">
        <v>21</v>
      </c>
      <c r="G27" s="15">
        <v>9.0</v>
      </c>
      <c r="H27" s="15">
        <v>4.0</v>
      </c>
      <c r="I27" s="15">
        <v>0.0</v>
      </c>
      <c r="J27" s="16" t="s">
        <v>64</v>
      </c>
      <c r="K27" s="17"/>
      <c r="L27" s="26">
        <v>92.31</v>
      </c>
      <c r="M27" s="18">
        <v>84.62</v>
      </c>
      <c r="N27" s="18">
        <v>92.31</v>
      </c>
      <c r="O27" s="18">
        <v>84.62</v>
      </c>
      <c r="P27" s="18">
        <v>92.31</v>
      </c>
      <c r="Q27" s="1"/>
      <c r="R27" s="1"/>
      <c r="S27" s="1"/>
      <c r="T27" s="3"/>
      <c r="U27" s="3"/>
    </row>
    <row r="28" ht="15.75" customHeight="1">
      <c r="A28" s="1"/>
      <c r="B28" s="12" t="s">
        <v>65</v>
      </c>
      <c r="C28" s="13">
        <v>1.0</v>
      </c>
      <c r="D28" s="14" t="s">
        <v>66</v>
      </c>
      <c r="E28" s="13" t="s">
        <v>20</v>
      </c>
      <c r="F28" s="13" t="s">
        <v>21</v>
      </c>
      <c r="G28" s="15">
        <v>10.0</v>
      </c>
      <c r="H28" s="15">
        <v>4.0</v>
      </c>
      <c r="I28" s="15">
        <v>0.0</v>
      </c>
      <c r="J28" s="16" t="s">
        <v>67</v>
      </c>
      <c r="K28" s="17"/>
      <c r="L28" s="26">
        <v>92.86</v>
      </c>
      <c r="M28" s="18">
        <v>92.86</v>
      </c>
      <c r="N28" s="18">
        <v>92.86</v>
      </c>
      <c r="O28" s="18">
        <v>92.86</v>
      </c>
      <c r="P28" s="18">
        <v>92.86</v>
      </c>
      <c r="Q28" s="1"/>
      <c r="R28" s="1"/>
      <c r="S28" s="1"/>
      <c r="T28" s="1"/>
      <c r="U28" s="1"/>
    </row>
    <row r="29" ht="15.75" customHeight="1">
      <c r="A29" s="1"/>
      <c r="B29" s="12" t="s">
        <v>65</v>
      </c>
      <c r="C29" s="13">
        <v>2.0</v>
      </c>
      <c r="D29" s="14" t="s">
        <v>68</v>
      </c>
      <c r="E29" s="13" t="s">
        <v>20</v>
      </c>
      <c r="F29" s="13" t="s">
        <v>21</v>
      </c>
      <c r="G29" s="15">
        <v>10.0</v>
      </c>
      <c r="H29" s="15">
        <v>4.0</v>
      </c>
      <c r="I29" s="15">
        <v>0.0</v>
      </c>
      <c r="J29" s="16" t="s">
        <v>69</v>
      </c>
      <c r="K29" s="17"/>
      <c r="L29" s="26">
        <v>92.86</v>
      </c>
      <c r="M29" s="18">
        <v>92.86</v>
      </c>
      <c r="N29" s="18">
        <v>92.86</v>
      </c>
      <c r="O29" s="18">
        <v>85.71</v>
      </c>
      <c r="P29" s="18">
        <v>92.86</v>
      </c>
      <c r="Q29" s="1"/>
      <c r="R29" s="1"/>
      <c r="S29" s="1"/>
      <c r="T29" s="1"/>
      <c r="U29" s="1"/>
    </row>
    <row r="30" ht="15.75" customHeight="1">
      <c r="A30" s="1"/>
      <c r="B30" s="12" t="s">
        <v>65</v>
      </c>
      <c r="C30" s="13">
        <v>3.0</v>
      </c>
      <c r="D30" s="14" t="s">
        <v>70</v>
      </c>
      <c r="E30" s="13" t="s">
        <v>20</v>
      </c>
      <c r="F30" s="13" t="s">
        <v>21</v>
      </c>
      <c r="G30" s="15">
        <v>10.0</v>
      </c>
      <c r="H30" s="15">
        <v>4.0</v>
      </c>
      <c r="I30" s="15">
        <v>0.0</v>
      </c>
      <c r="J30" s="16" t="s">
        <v>71</v>
      </c>
      <c r="K30" s="17"/>
      <c r="L30" s="26">
        <v>92.86</v>
      </c>
      <c r="M30" s="18">
        <v>92.86</v>
      </c>
      <c r="N30" s="18">
        <v>92.86</v>
      </c>
      <c r="O30" s="18">
        <v>92.86</v>
      </c>
      <c r="P30" s="18">
        <v>92.86</v>
      </c>
      <c r="Q30" s="1"/>
      <c r="R30" s="1"/>
      <c r="S30" s="1"/>
      <c r="T30" s="1"/>
      <c r="U30" s="1"/>
    </row>
    <row r="31" ht="15.75" customHeight="1">
      <c r="A31" s="39"/>
      <c r="B31" s="19" t="s">
        <v>65</v>
      </c>
      <c r="C31" s="20">
        <v>4.0</v>
      </c>
      <c r="D31" s="21" t="s">
        <v>72</v>
      </c>
      <c r="E31" s="20" t="s">
        <v>29</v>
      </c>
      <c r="F31" s="20" t="s">
        <v>21</v>
      </c>
      <c r="G31" s="22">
        <v>10.0</v>
      </c>
      <c r="H31" s="22">
        <v>5.0</v>
      </c>
      <c r="I31" s="22">
        <v>0.0</v>
      </c>
      <c r="J31" s="23" t="s">
        <v>73</v>
      </c>
      <c r="K31" s="41"/>
      <c r="L31" s="42">
        <v>93.33</v>
      </c>
      <c r="M31" s="43">
        <v>93.33</v>
      </c>
      <c r="N31" s="43">
        <v>93.33</v>
      </c>
      <c r="O31" s="43">
        <v>93.33</v>
      </c>
      <c r="P31" s="43">
        <v>93.33</v>
      </c>
      <c r="Q31" s="1"/>
      <c r="R31" s="39"/>
      <c r="S31" s="39"/>
      <c r="T31" s="39"/>
      <c r="U31" s="39"/>
    </row>
    <row r="32" ht="15.75" customHeight="1">
      <c r="A32" s="1"/>
      <c r="B32" s="12" t="s">
        <v>65</v>
      </c>
      <c r="C32" s="13">
        <v>5.0</v>
      </c>
      <c r="D32" s="14" t="s">
        <v>74</v>
      </c>
      <c r="E32" s="13" t="s">
        <v>20</v>
      </c>
      <c r="F32" s="13" t="s">
        <v>21</v>
      </c>
      <c r="G32" s="15">
        <v>10.0</v>
      </c>
      <c r="H32" s="15">
        <v>4.0</v>
      </c>
      <c r="I32" s="15">
        <v>0.0</v>
      </c>
      <c r="J32" s="16" t="s">
        <v>75</v>
      </c>
      <c r="K32" s="17"/>
      <c r="L32" s="26">
        <v>92.86</v>
      </c>
      <c r="M32" s="18">
        <v>92.86</v>
      </c>
      <c r="N32" s="18">
        <v>92.86</v>
      </c>
      <c r="O32" s="18">
        <v>85.71</v>
      </c>
      <c r="P32" s="18">
        <v>92.86</v>
      </c>
      <c r="Q32" s="1"/>
      <c r="R32" s="1"/>
      <c r="S32" s="1"/>
      <c r="T32" s="1"/>
      <c r="U32" s="1"/>
    </row>
    <row r="33" ht="15.75" customHeight="1">
      <c r="A33" s="1"/>
      <c r="B33" s="12" t="s">
        <v>76</v>
      </c>
      <c r="C33" s="13">
        <v>1.0</v>
      </c>
      <c r="D33" s="14" t="s">
        <v>77</v>
      </c>
      <c r="E33" s="13" t="s">
        <v>20</v>
      </c>
      <c r="F33" s="13" t="s">
        <v>21</v>
      </c>
      <c r="G33" s="15">
        <v>8.0</v>
      </c>
      <c r="H33" s="15">
        <v>6.0</v>
      </c>
      <c r="I33" s="15">
        <v>1.0</v>
      </c>
      <c r="J33" s="44" t="s">
        <v>78</v>
      </c>
      <c r="K33" s="45"/>
      <c r="L33" s="46">
        <v>92.86</v>
      </c>
      <c r="M33" s="18">
        <v>85.71</v>
      </c>
      <c r="N33" s="18">
        <v>92.86</v>
      </c>
      <c r="O33" s="18">
        <v>85.71</v>
      </c>
      <c r="P33" s="18">
        <v>92.86</v>
      </c>
      <c r="Q33" s="1"/>
      <c r="R33" s="1"/>
      <c r="S33" s="1"/>
      <c r="T33" s="1"/>
      <c r="U33" s="1"/>
    </row>
    <row r="34" ht="15.75" customHeight="1">
      <c r="A34" s="1"/>
      <c r="B34" s="19" t="s">
        <v>76</v>
      </c>
      <c r="C34" s="20">
        <v>2.0</v>
      </c>
      <c r="D34" s="21" t="s">
        <v>79</v>
      </c>
      <c r="E34" s="13" t="s">
        <v>29</v>
      </c>
      <c r="F34" s="13" t="s">
        <v>21</v>
      </c>
      <c r="G34" s="22">
        <v>10.0</v>
      </c>
      <c r="H34" s="22">
        <v>6.0</v>
      </c>
      <c r="I34" s="22">
        <v>0.0</v>
      </c>
      <c r="J34" s="47" t="s">
        <v>80</v>
      </c>
      <c r="K34" s="48"/>
      <c r="L34" s="49">
        <v>93.75</v>
      </c>
      <c r="M34" s="18">
        <v>93.75</v>
      </c>
      <c r="N34" s="18">
        <v>93.75</v>
      </c>
      <c r="O34" s="18">
        <v>93.75</v>
      </c>
      <c r="P34" s="18">
        <v>93.75</v>
      </c>
      <c r="Q34" s="1"/>
      <c r="R34" s="1"/>
      <c r="S34" s="1"/>
      <c r="T34" s="1"/>
      <c r="U34" s="1"/>
    </row>
    <row r="35" ht="15.75" customHeight="1">
      <c r="A35" s="1"/>
      <c r="B35" s="12" t="s">
        <v>76</v>
      </c>
      <c r="C35" s="13">
        <v>3.0</v>
      </c>
      <c r="D35" s="14" t="s">
        <v>81</v>
      </c>
      <c r="E35" s="13" t="s">
        <v>20</v>
      </c>
      <c r="F35" s="13" t="s">
        <v>21</v>
      </c>
      <c r="G35" s="15">
        <v>9.0</v>
      </c>
      <c r="H35" s="15">
        <v>6.0</v>
      </c>
      <c r="I35" s="15">
        <v>0.0</v>
      </c>
      <c r="J35" s="44" t="s">
        <v>82</v>
      </c>
      <c r="K35" s="45"/>
      <c r="L35" s="46">
        <v>93.33</v>
      </c>
      <c r="M35" s="18">
        <v>86.66</v>
      </c>
      <c r="N35" s="18">
        <v>93.33</v>
      </c>
      <c r="O35" s="18">
        <v>86.66</v>
      </c>
      <c r="P35" s="18">
        <v>93.33</v>
      </c>
      <c r="Q35" s="1"/>
      <c r="R35" s="1"/>
      <c r="S35" s="1"/>
      <c r="T35" s="1"/>
      <c r="U35" s="1"/>
    </row>
    <row r="36" ht="15.75" customHeight="1">
      <c r="A36" s="1"/>
      <c r="B36" s="12" t="s">
        <v>76</v>
      </c>
      <c r="C36" s="13">
        <v>4.0</v>
      </c>
      <c r="D36" s="14" t="s">
        <v>83</v>
      </c>
      <c r="E36" s="13" t="s">
        <v>29</v>
      </c>
      <c r="F36" s="13" t="s">
        <v>21</v>
      </c>
      <c r="G36" s="15">
        <v>11.0</v>
      </c>
      <c r="H36" s="15">
        <v>5.0</v>
      </c>
      <c r="I36" s="15">
        <v>0.0</v>
      </c>
      <c r="J36" s="50" t="s">
        <v>84</v>
      </c>
      <c r="K36" s="51"/>
      <c r="L36" s="49">
        <v>93.75</v>
      </c>
      <c r="M36" s="18">
        <v>93.75</v>
      </c>
      <c r="N36" s="18">
        <v>93.75</v>
      </c>
      <c r="O36" s="18">
        <v>87.5</v>
      </c>
      <c r="P36" s="18">
        <v>93.75</v>
      </c>
      <c r="Q36" s="1"/>
      <c r="R36" s="1"/>
      <c r="S36" s="1"/>
      <c r="T36" s="1"/>
      <c r="U36" s="1"/>
    </row>
    <row r="37" ht="15.75" customHeight="1">
      <c r="A37" s="1"/>
      <c r="B37" s="12" t="s">
        <v>76</v>
      </c>
      <c r="C37" s="13">
        <v>5.0</v>
      </c>
      <c r="D37" s="14" t="s">
        <v>85</v>
      </c>
      <c r="E37" s="13" t="s">
        <v>26</v>
      </c>
      <c r="F37" s="13" t="s">
        <v>21</v>
      </c>
      <c r="G37" s="15">
        <v>10.0</v>
      </c>
      <c r="H37" s="15">
        <v>6.0</v>
      </c>
      <c r="I37" s="15">
        <v>2.0</v>
      </c>
      <c r="J37" s="44" t="s">
        <v>86</v>
      </c>
      <c r="K37" s="45"/>
      <c r="L37" s="46">
        <v>87.5</v>
      </c>
      <c r="M37" s="18">
        <v>75.0</v>
      </c>
      <c r="N37" s="18" t="s">
        <v>87</v>
      </c>
      <c r="O37" s="18">
        <v>75.0</v>
      </c>
      <c r="P37" s="18">
        <v>87.5</v>
      </c>
      <c r="Q37" s="1"/>
      <c r="R37" s="1"/>
      <c r="S37" s="1"/>
      <c r="T37" s="1"/>
      <c r="U37" s="1"/>
    </row>
    <row r="38" ht="15.75" customHeight="1">
      <c r="A38" s="1"/>
      <c r="B38" s="52"/>
      <c r="C38" s="53"/>
      <c r="D38" s="54"/>
      <c r="E38" s="53"/>
      <c r="F38" s="53"/>
      <c r="G38" s="55"/>
      <c r="H38" s="55"/>
      <c r="I38" s="55"/>
      <c r="J38" s="40"/>
      <c r="K38" s="40"/>
      <c r="L38" s="40"/>
      <c r="M38" s="1"/>
      <c r="N38" s="1"/>
      <c r="O38" s="1"/>
      <c r="P38" s="1"/>
      <c r="Q38" s="1"/>
      <c r="R38" s="1"/>
      <c r="S38" s="1"/>
      <c r="T38" s="1"/>
      <c r="U38" s="1"/>
    </row>
    <row r="39" ht="15.75" customHeight="1">
      <c r="A39" s="1"/>
      <c r="B39" s="52"/>
      <c r="C39" s="53"/>
      <c r="D39" s="54"/>
      <c r="E39" s="53"/>
      <c r="F39" s="53"/>
      <c r="G39" s="55"/>
      <c r="H39" s="55"/>
      <c r="I39" s="55"/>
      <c r="J39" s="40"/>
      <c r="K39" s="40"/>
      <c r="L39" s="40"/>
      <c r="M39" s="1"/>
      <c r="N39" s="1"/>
      <c r="O39" s="1"/>
      <c r="P39" s="1"/>
      <c r="Q39" s="1"/>
      <c r="R39" s="1"/>
      <c r="S39" s="1"/>
      <c r="T39" s="1"/>
      <c r="U39" s="1"/>
    </row>
    <row r="40" ht="15.75" customHeight="1">
      <c r="A40" s="1"/>
      <c r="B40" s="52"/>
      <c r="C40" s="53"/>
      <c r="D40" s="54"/>
      <c r="E40" s="53"/>
      <c r="F40" s="53"/>
      <c r="G40" s="55"/>
      <c r="H40" s="55"/>
      <c r="I40" s="55"/>
      <c r="J40" s="12" t="s">
        <v>18</v>
      </c>
      <c r="K40" s="40"/>
      <c r="L40" s="40">
        <f t="shared" ref="L40:P40" si="3">ROUND(AVERAGE(L8:L12),2)</f>
        <v>95.55</v>
      </c>
      <c r="M40" s="40">
        <f t="shared" si="3"/>
        <v>94.38</v>
      </c>
      <c r="N40" s="40">
        <f t="shared" si="3"/>
        <v>93.33</v>
      </c>
      <c r="O40" s="40">
        <f t="shared" si="3"/>
        <v>94.44</v>
      </c>
      <c r="P40" s="40">
        <f t="shared" si="3"/>
        <v>94.5</v>
      </c>
      <c r="Q40" s="1"/>
      <c r="R40" s="1"/>
      <c r="S40" s="1"/>
      <c r="T40" s="1"/>
      <c r="U40" s="1"/>
    </row>
    <row r="41" ht="15.75" customHeight="1">
      <c r="A41" s="1"/>
      <c r="B41" s="12" t="s">
        <v>88</v>
      </c>
      <c r="C41" s="53"/>
      <c r="D41" s="54"/>
      <c r="E41" s="53"/>
      <c r="F41" s="53"/>
      <c r="G41" s="55"/>
      <c r="H41" s="55"/>
      <c r="I41" s="55"/>
      <c r="J41" s="12" t="s">
        <v>32</v>
      </c>
      <c r="K41" s="40"/>
      <c r="L41" s="40">
        <f t="shared" ref="L41:P41" si="4">ROUND(AVERAGE(L13:L17),2)</f>
        <v>98.89</v>
      </c>
      <c r="M41" s="40">
        <f t="shared" si="4"/>
        <v>93.36</v>
      </c>
      <c r="N41" s="40">
        <f t="shared" si="4"/>
        <v>93.59</v>
      </c>
      <c r="O41" s="40">
        <f t="shared" si="4"/>
        <v>94.7</v>
      </c>
      <c r="P41" s="40">
        <f t="shared" si="4"/>
        <v>93.3</v>
      </c>
      <c r="Q41" s="1"/>
      <c r="R41" s="1"/>
      <c r="S41" s="1"/>
      <c r="T41" s="1"/>
      <c r="U41" s="1"/>
    </row>
    <row r="42" ht="15.75" customHeight="1">
      <c r="A42" s="1"/>
      <c r="B42" s="52"/>
      <c r="C42" s="53"/>
      <c r="D42" s="54"/>
      <c r="E42" s="53"/>
      <c r="F42" s="53"/>
      <c r="G42" s="55"/>
      <c r="H42" s="55"/>
      <c r="I42" s="55"/>
      <c r="J42" s="12" t="s">
        <v>45</v>
      </c>
      <c r="K42" s="40"/>
      <c r="L42" s="40">
        <f t="shared" ref="L42:P42" si="5">ROUND(AVERAGE(L18:L22),2)</f>
        <v>88.75</v>
      </c>
      <c r="M42" s="40">
        <f t="shared" si="5"/>
        <v>95.49</v>
      </c>
      <c r="N42" s="40">
        <f t="shared" si="5"/>
        <v>93.38</v>
      </c>
      <c r="O42" s="40">
        <f t="shared" si="5"/>
        <v>86.65</v>
      </c>
      <c r="P42" s="40">
        <f t="shared" si="5"/>
        <v>87.83</v>
      </c>
      <c r="Q42" s="1"/>
      <c r="R42" s="1"/>
      <c r="S42" s="1"/>
      <c r="T42" s="1"/>
      <c r="U42" s="1"/>
    </row>
    <row r="43" ht="15.75" customHeight="1">
      <c r="A43" s="1"/>
      <c r="B43" s="52"/>
      <c r="C43" s="53"/>
      <c r="D43" s="54"/>
      <c r="E43" s="53"/>
      <c r="F43" s="53"/>
      <c r="G43" s="55"/>
      <c r="H43" s="55"/>
      <c r="I43" s="55"/>
      <c r="J43" s="12" t="s">
        <v>54</v>
      </c>
      <c r="K43" s="40"/>
      <c r="L43" s="40">
        <f t="shared" ref="L43:P43" si="6">ROUND(AVERAGE(L23:L27),2)</f>
        <v>94.37</v>
      </c>
      <c r="M43" s="40">
        <f t="shared" si="6"/>
        <v>88.64</v>
      </c>
      <c r="N43" s="40">
        <f t="shared" si="6"/>
        <v>93.03</v>
      </c>
      <c r="O43" s="40">
        <f t="shared" si="6"/>
        <v>90.06</v>
      </c>
      <c r="P43" s="40">
        <f t="shared" si="6"/>
        <v>94.37</v>
      </c>
      <c r="Q43" s="1"/>
      <c r="R43" s="1"/>
      <c r="S43" s="1"/>
      <c r="T43" s="1"/>
      <c r="U43" s="1"/>
    </row>
    <row r="44" ht="15.75" customHeight="1">
      <c r="A44" s="1"/>
      <c r="B44" s="52"/>
      <c r="C44" s="53"/>
      <c r="D44" s="54"/>
      <c r="E44" s="53"/>
      <c r="F44" s="53"/>
      <c r="G44" s="55"/>
      <c r="H44" s="55"/>
      <c r="I44" s="55"/>
      <c r="J44" s="12" t="s">
        <v>65</v>
      </c>
      <c r="K44" s="40"/>
      <c r="L44" s="40">
        <f t="shared" ref="L44:P44" si="7">ROUND(AVERAGE(L28:L32),2)</f>
        <v>92.95</v>
      </c>
      <c r="M44" s="40">
        <f t="shared" si="7"/>
        <v>92.95</v>
      </c>
      <c r="N44" s="40">
        <f t="shared" si="7"/>
        <v>92.95</v>
      </c>
      <c r="O44" s="40">
        <f t="shared" si="7"/>
        <v>90.09</v>
      </c>
      <c r="P44" s="40">
        <f t="shared" si="7"/>
        <v>92.95</v>
      </c>
      <c r="Q44" s="1"/>
      <c r="R44" s="1"/>
      <c r="S44" s="1"/>
      <c r="T44" s="1"/>
      <c r="U44" s="1"/>
    </row>
    <row r="45" ht="15.75" customHeight="1">
      <c r="A45" s="1"/>
      <c r="B45" s="52"/>
      <c r="C45" s="53"/>
      <c r="D45" s="54"/>
      <c r="E45" s="53"/>
      <c r="F45" s="53"/>
      <c r="G45" s="55"/>
      <c r="H45" s="55"/>
      <c r="I45" s="55"/>
      <c r="J45" s="12" t="s">
        <v>76</v>
      </c>
      <c r="K45" s="40"/>
      <c r="L45" s="40">
        <f t="shared" ref="L45:P45" si="8">ROUND(AVERAGE(L33:L37),2)</f>
        <v>92.24</v>
      </c>
      <c r="M45" s="40">
        <f t="shared" si="8"/>
        <v>86.97</v>
      </c>
      <c r="N45" s="40">
        <f t="shared" si="8"/>
        <v>93.42</v>
      </c>
      <c r="O45" s="40">
        <f t="shared" si="8"/>
        <v>85.72</v>
      </c>
      <c r="P45" s="40">
        <f t="shared" si="8"/>
        <v>92.24</v>
      </c>
      <c r="Q45" s="1"/>
      <c r="R45" s="1"/>
      <c r="S45" s="1"/>
      <c r="T45" s="1"/>
      <c r="U45" s="1"/>
    </row>
    <row r="46" ht="15.75" customHeight="1">
      <c r="A46" s="1"/>
      <c r="B46" s="52"/>
      <c r="C46" s="53"/>
      <c r="D46" s="54"/>
      <c r="E46" s="53"/>
      <c r="F46" s="53"/>
      <c r="G46" s="55"/>
      <c r="H46" s="55"/>
      <c r="I46" s="55"/>
      <c r="J46" s="40"/>
      <c r="K46" s="40"/>
      <c r="L46" s="40"/>
      <c r="M46" s="1"/>
      <c r="N46" s="1"/>
      <c r="O46" s="1"/>
      <c r="P46" s="1"/>
      <c r="Q46" s="1"/>
      <c r="R46" s="1"/>
      <c r="S46" s="1"/>
      <c r="T46" s="1"/>
      <c r="U46" s="1"/>
    </row>
    <row r="47" ht="15.75" customHeight="1">
      <c r="A47" s="1"/>
      <c r="B47" s="52"/>
      <c r="C47" s="53"/>
      <c r="D47" s="54"/>
      <c r="E47" s="53"/>
      <c r="F47" s="53"/>
      <c r="G47" s="55"/>
      <c r="H47" s="55"/>
      <c r="I47" s="55"/>
      <c r="J47" s="40"/>
      <c r="K47" s="40"/>
      <c r="L47" s="40"/>
      <c r="M47" s="1"/>
      <c r="N47" s="1"/>
      <c r="O47" s="1"/>
      <c r="P47" s="1"/>
      <c r="Q47" s="1"/>
      <c r="R47" s="1"/>
      <c r="S47" s="1"/>
      <c r="T47" s="1"/>
      <c r="U47" s="1"/>
    </row>
    <row r="48" ht="15.75" customHeight="1">
      <c r="A48" s="1"/>
      <c r="B48" s="52"/>
      <c r="C48" s="53"/>
      <c r="D48" s="54"/>
      <c r="E48" s="53"/>
      <c r="F48" s="53"/>
      <c r="G48" s="55"/>
      <c r="H48" s="55"/>
      <c r="I48" s="55"/>
      <c r="J48" s="40"/>
      <c r="K48" s="40"/>
      <c r="L48" s="40"/>
      <c r="M48" s="1"/>
      <c r="N48" s="1"/>
      <c r="O48" s="1"/>
      <c r="P48" s="1"/>
      <c r="Q48" s="1"/>
      <c r="R48" s="1"/>
      <c r="S48" s="1"/>
      <c r="T48" s="1"/>
      <c r="U48" s="1"/>
    </row>
    <row r="49" ht="15.75" customHeight="1">
      <c r="A49" s="1"/>
      <c r="B49" s="52"/>
      <c r="C49" s="53"/>
      <c r="D49" s="54"/>
      <c r="E49" s="53"/>
      <c r="F49" s="53"/>
      <c r="G49" s="55"/>
      <c r="H49" s="55"/>
      <c r="I49" s="55"/>
      <c r="J49" s="40"/>
      <c r="K49" s="40"/>
      <c r="L49" s="40"/>
      <c r="M49" s="1"/>
      <c r="N49" s="1"/>
      <c r="O49" s="1"/>
      <c r="P49" s="1"/>
      <c r="Q49" s="1"/>
      <c r="R49" s="1"/>
      <c r="S49" s="1"/>
      <c r="T49" s="1"/>
      <c r="U49" s="1"/>
    </row>
    <row r="50" ht="15.75" customHeight="1">
      <c r="A50" s="1"/>
      <c r="B50" s="52"/>
      <c r="C50" s="53"/>
      <c r="D50" s="54"/>
      <c r="E50" s="53"/>
      <c r="F50" s="53"/>
      <c r="G50" s="55"/>
      <c r="H50" s="55"/>
      <c r="I50" s="55"/>
      <c r="J50" s="40"/>
      <c r="K50" s="40"/>
      <c r="L50" s="40"/>
      <c r="M50" s="1"/>
      <c r="N50" s="1"/>
      <c r="O50" s="1"/>
      <c r="P50" s="1"/>
      <c r="Q50" s="1"/>
      <c r="R50" s="1"/>
      <c r="S50" s="1"/>
      <c r="T50" s="1"/>
      <c r="U50" s="1"/>
    </row>
    <row r="51" ht="15.75" customHeight="1">
      <c r="A51" s="1"/>
      <c r="B51" s="52"/>
      <c r="C51" s="53"/>
      <c r="D51" s="54"/>
      <c r="E51" s="53"/>
      <c r="F51" s="53"/>
      <c r="G51" s="55"/>
      <c r="H51" s="55"/>
      <c r="I51" s="55"/>
      <c r="J51" s="40"/>
      <c r="K51" s="40"/>
      <c r="L51" s="40"/>
      <c r="M51" s="1"/>
      <c r="N51" s="1"/>
      <c r="O51" s="1"/>
      <c r="P51" s="1"/>
      <c r="Q51" s="1"/>
      <c r="R51" s="1"/>
      <c r="S51" s="1"/>
      <c r="T51" s="1"/>
      <c r="U51" s="1"/>
    </row>
    <row r="52" ht="15.75" customHeight="1">
      <c r="A52" s="1"/>
      <c r="B52" s="52"/>
      <c r="C52" s="53"/>
      <c r="D52" s="54"/>
      <c r="E52" s="53"/>
      <c r="F52" s="53"/>
      <c r="G52" s="55"/>
      <c r="H52" s="55"/>
      <c r="I52" s="55"/>
      <c r="J52" s="40"/>
      <c r="K52" s="40"/>
      <c r="L52" s="40"/>
      <c r="M52" s="1"/>
      <c r="N52" s="1"/>
      <c r="O52" s="1"/>
      <c r="P52" s="1"/>
      <c r="Q52" s="1"/>
      <c r="R52" s="1"/>
      <c r="S52" s="1"/>
      <c r="T52" s="1"/>
      <c r="U52" s="1"/>
    </row>
    <row r="53" ht="15.75" customHeight="1">
      <c r="A53" s="1"/>
      <c r="B53" s="52"/>
      <c r="C53" s="53"/>
      <c r="D53" s="54"/>
      <c r="E53" s="53"/>
      <c r="F53" s="53"/>
      <c r="G53" s="55"/>
      <c r="H53" s="55"/>
      <c r="I53" s="55"/>
      <c r="J53" s="40"/>
      <c r="K53" s="40"/>
      <c r="L53" s="40"/>
      <c r="M53" s="1"/>
      <c r="N53" s="1"/>
      <c r="O53" s="1"/>
      <c r="P53" s="1"/>
      <c r="Q53" s="1"/>
      <c r="R53" s="1"/>
      <c r="S53" s="1"/>
      <c r="T53" s="1"/>
      <c r="U53" s="1"/>
    </row>
    <row r="54" ht="15.75" customHeight="1">
      <c r="A54" s="1"/>
      <c r="B54" s="52"/>
      <c r="C54" s="53"/>
      <c r="D54" s="54"/>
      <c r="E54" s="53"/>
      <c r="F54" s="53"/>
      <c r="G54" s="55"/>
      <c r="H54" s="55"/>
      <c r="I54" s="55"/>
      <c r="J54" s="40"/>
      <c r="K54" s="40"/>
      <c r="L54" s="40"/>
      <c r="M54" s="1"/>
      <c r="N54" s="1"/>
      <c r="O54" s="1"/>
      <c r="P54" s="1"/>
      <c r="Q54" s="1"/>
      <c r="R54" s="1"/>
      <c r="S54" s="1"/>
      <c r="T54" s="1"/>
      <c r="U54" s="1"/>
    </row>
    <row r="55" ht="15.75" customHeight="1">
      <c r="A55" s="1"/>
      <c r="B55" s="52"/>
      <c r="C55" s="53"/>
      <c r="D55" s="54"/>
      <c r="E55" s="53"/>
      <c r="F55" s="53"/>
      <c r="G55" s="55"/>
      <c r="H55" s="55"/>
      <c r="I55" s="55"/>
      <c r="J55" s="40"/>
      <c r="K55" s="40"/>
      <c r="L55" s="40"/>
      <c r="M55" s="1"/>
      <c r="N55" s="1"/>
      <c r="O55" s="1"/>
      <c r="P55" s="1"/>
      <c r="Q55" s="1"/>
      <c r="R55" s="1"/>
      <c r="S55" s="1"/>
      <c r="T55" s="1"/>
      <c r="U55" s="1"/>
    </row>
    <row r="56" ht="15.75" customHeight="1">
      <c r="A56" s="1"/>
      <c r="B56" s="52"/>
      <c r="C56" s="53"/>
      <c r="D56" s="54"/>
      <c r="E56" s="53"/>
      <c r="F56" s="53"/>
      <c r="G56" s="55"/>
      <c r="H56" s="55"/>
      <c r="I56" s="55"/>
      <c r="J56" s="40"/>
      <c r="K56" s="40"/>
      <c r="L56" s="40"/>
      <c r="M56" s="1"/>
      <c r="N56" s="1"/>
      <c r="O56" s="1"/>
      <c r="P56" s="1"/>
      <c r="Q56" s="1"/>
      <c r="R56" s="1"/>
      <c r="S56" s="1"/>
      <c r="T56" s="1"/>
      <c r="U56" s="1"/>
    </row>
    <row r="57" ht="15.75" customHeight="1">
      <c r="A57" s="1"/>
      <c r="B57" s="52"/>
      <c r="C57" s="53"/>
      <c r="D57" s="54"/>
      <c r="E57" s="53"/>
      <c r="F57" s="53"/>
      <c r="G57" s="55"/>
      <c r="H57" s="55"/>
      <c r="I57" s="55"/>
      <c r="J57" s="40"/>
      <c r="K57" s="40"/>
      <c r="L57" s="40"/>
      <c r="M57" s="1"/>
      <c r="N57" s="1"/>
      <c r="O57" s="1"/>
      <c r="P57" s="1"/>
      <c r="Q57" s="1"/>
      <c r="R57" s="1"/>
      <c r="S57" s="1"/>
      <c r="T57" s="1"/>
      <c r="U57" s="1"/>
    </row>
    <row r="58" ht="15.75" customHeight="1">
      <c r="A58" s="1"/>
      <c r="B58" s="52"/>
      <c r="C58" s="53"/>
      <c r="D58" s="54"/>
      <c r="E58" s="53"/>
      <c r="F58" s="53"/>
      <c r="G58" s="55"/>
      <c r="H58" s="55"/>
      <c r="I58" s="55"/>
      <c r="J58" s="40"/>
      <c r="K58" s="40"/>
      <c r="L58" s="40"/>
      <c r="M58" s="1"/>
      <c r="N58" s="1"/>
      <c r="O58" s="1"/>
      <c r="P58" s="1"/>
      <c r="Q58" s="1"/>
      <c r="R58" s="1"/>
      <c r="S58" s="1"/>
      <c r="T58" s="1"/>
      <c r="U58" s="1"/>
    </row>
    <row r="59" ht="15.75" customHeight="1">
      <c r="A59" s="1"/>
      <c r="B59" s="52"/>
      <c r="C59" s="53"/>
      <c r="D59" s="54"/>
      <c r="E59" s="53"/>
      <c r="F59" s="53"/>
      <c r="G59" s="55"/>
      <c r="H59" s="55"/>
      <c r="I59" s="55"/>
      <c r="J59" s="40"/>
      <c r="K59" s="40"/>
      <c r="L59" s="40"/>
      <c r="M59" s="1"/>
      <c r="N59" s="1"/>
      <c r="O59" s="1"/>
      <c r="P59" s="1"/>
      <c r="Q59" s="1"/>
      <c r="R59" s="1"/>
      <c r="S59" s="1"/>
      <c r="T59" s="1"/>
      <c r="U59" s="1"/>
    </row>
    <row r="60" ht="15.75" customHeight="1">
      <c r="A60" s="1"/>
      <c r="B60" s="52"/>
      <c r="C60" s="53"/>
      <c r="D60" s="54"/>
      <c r="E60" s="53"/>
      <c r="F60" s="53"/>
      <c r="G60" s="55"/>
      <c r="H60" s="55"/>
      <c r="I60" s="55"/>
      <c r="J60" s="40"/>
      <c r="K60" s="40"/>
      <c r="L60" s="40"/>
      <c r="M60" s="1"/>
      <c r="N60" s="1"/>
      <c r="O60" s="1"/>
      <c r="P60" s="1"/>
      <c r="Q60" s="1"/>
      <c r="R60" s="1"/>
      <c r="S60" s="1"/>
      <c r="T60" s="1"/>
      <c r="U60" s="1"/>
    </row>
    <row r="61" ht="15.75" customHeight="1">
      <c r="A61" s="1"/>
      <c r="B61" s="52"/>
      <c r="C61" s="53"/>
      <c r="D61" s="54"/>
      <c r="E61" s="53"/>
      <c r="F61" s="53"/>
      <c r="G61" s="55"/>
      <c r="H61" s="55"/>
      <c r="I61" s="55"/>
      <c r="J61" s="40"/>
      <c r="K61" s="40"/>
      <c r="L61" s="40"/>
      <c r="M61" s="1"/>
      <c r="N61" s="1"/>
      <c r="O61" s="1"/>
      <c r="P61" s="1"/>
      <c r="Q61" s="1"/>
      <c r="R61" s="1"/>
      <c r="S61" s="1"/>
      <c r="T61" s="1"/>
      <c r="U61" s="1"/>
    </row>
    <row r="62" ht="15.75" customHeight="1">
      <c r="A62" s="1"/>
      <c r="B62" s="52"/>
      <c r="C62" s="53"/>
      <c r="D62" s="54"/>
      <c r="E62" s="53"/>
      <c r="F62" s="53"/>
      <c r="G62" s="55"/>
      <c r="H62" s="55"/>
      <c r="I62" s="55"/>
      <c r="J62" s="40"/>
      <c r="K62" s="40"/>
      <c r="L62" s="40"/>
      <c r="M62" s="1"/>
      <c r="N62" s="1"/>
      <c r="O62" s="1"/>
      <c r="P62" s="1"/>
      <c r="Q62" s="1"/>
      <c r="R62" s="1"/>
      <c r="S62" s="1"/>
      <c r="T62" s="1"/>
      <c r="U62" s="1"/>
    </row>
    <row r="63" ht="15.75" customHeight="1">
      <c r="A63" s="1"/>
      <c r="B63" s="52"/>
      <c r="C63" s="53"/>
      <c r="D63" s="54"/>
      <c r="E63" s="53"/>
      <c r="F63" s="53"/>
      <c r="G63" s="55"/>
      <c r="H63" s="55"/>
      <c r="I63" s="55"/>
      <c r="J63" s="40"/>
      <c r="K63" s="40"/>
      <c r="L63" s="40"/>
      <c r="M63" s="1"/>
      <c r="N63" s="1"/>
      <c r="O63" s="1"/>
      <c r="P63" s="1"/>
      <c r="Q63" s="1"/>
      <c r="R63" s="1"/>
      <c r="S63" s="1"/>
      <c r="T63" s="1"/>
      <c r="U63" s="1"/>
    </row>
    <row r="64" ht="15.75" customHeight="1">
      <c r="A64" s="1"/>
      <c r="B64" s="52"/>
      <c r="C64" s="53"/>
      <c r="D64" s="54"/>
      <c r="E64" s="53"/>
      <c r="F64" s="53"/>
      <c r="G64" s="55"/>
      <c r="H64" s="55"/>
      <c r="I64" s="55"/>
      <c r="J64" s="40"/>
      <c r="K64" s="40"/>
      <c r="L64" s="40"/>
      <c r="M64" s="1"/>
      <c r="N64" s="1"/>
      <c r="O64" s="1"/>
      <c r="P64" s="1"/>
      <c r="Q64" s="1"/>
      <c r="R64" s="1"/>
      <c r="S64" s="1"/>
      <c r="T64" s="1"/>
      <c r="U64" s="1"/>
    </row>
    <row r="65" ht="15.75" customHeight="1">
      <c r="A65" s="1"/>
      <c r="B65" s="52"/>
      <c r="C65" s="53"/>
      <c r="D65" s="54"/>
      <c r="E65" s="53"/>
      <c r="F65" s="53"/>
      <c r="G65" s="55"/>
      <c r="H65" s="55"/>
      <c r="I65" s="55"/>
      <c r="J65" s="40"/>
      <c r="K65" s="40"/>
      <c r="L65" s="40"/>
      <c r="M65" s="1"/>
      <c r="N65" s="1"/>
      <c r="O65" s="1"/>
      <c r="P65" s="1"/>
      <c r="Q65" s="1"/>
      <c r="R65" s="1"/>
      <c r="S65" s="1"/>
      <c r="T65" s="1"/>
      <c r="U65" s="1"/>
    </row>
    <row r="66" ht="15.75" customHeight="1">
      <c r="A66" s="1"/>
      <c r="B66" s="52"/>
      <c r="C66" s="53"/>
      <c r="D66" s="54"/>
      <c r="E66" s="53"/>
      <c r="F66" s="53"/>
      <c r="G66" s="55"/>
      <c r="H66" s="55"/>
      <c r="I66" s="55"/>
      <c r="J66" s="40"/>
      <c r="K66" s="40"/>
      <c r="L66" s="40"/>
      <c r="M66" s="1"/>
      <c r="N66" s="1"/>
      <c r="O66" s="1"/>
      <c r="P66" s="1"/>
      <c r="Q66" s="1"/>
      <c r="R66" s="1"/>
      <c r="S66" s="1"/>
      <c r="T66" s="1"/>
      <c r="U66" s="1"/>
    </row>
    <row r="67" ht="15.75" customHeight="1">
      <c r="A67" s="1"/>
      <c r="B67" s="52"/>
      <c r="C67" s="53"/>
      <c r="D67" s="54"/>
      <c r="E67" s="53"/>
      <c r="F67" s="53"/>
      <c r="G67" s="55"/>
      <c r="H67" s="55"/>
      <c r="I67" s="55"/>
      <c r="J67" s="40"/>
      <c r="K67" s="40"/>
      <c r="L67" s="40"/>
      <c r="M67" s="1"/>
      <c r="N67" s="1"/>
      <c r="O67" s="1"/>
      <c r="P67" s="1"/>
      <c r="Q67" s="1"/>
      <c r="R67" s="1"/>
      <c r="S67" s="1"/>
      <c r="T67" s="1"/>
      <c r="U67" s="1"/>
    </row>
    <row r="68" ht="15.75" customHeight="1">
      <c r="A68" s="1"/>
      <c r="B68" s="52"/>
      <c r="C68" s="53"/>
      <c r="D68" s="54"/>
      <c r="E68" s="53"/>
      <c r="F68" s="53"/>
      <c r="G68" s="55"/>
      <c r="H68" s="55"/>
      <c r="I68" s="55"/>
      <c r="J68" s="40"/>
      <c r="K68" s="40"/>
      <c r="L68" s="40"/>
      <c r="M68" s="1"/>
      <c r="N68" s="1"/>
      <c r="O68" s="1"/>
      <c r="P68" s="1"/>
      <c r="Q68" s="1"/>
      <c r="R68" s="1"/>
      <c r="S68" s="1"/>
      <c r="T68" s="1"/>
      <c r="U68" s="1"/>
    </row>
    <row r="69" ht="15.75" customHeight="1">
      <c r="A69" s="1"/>
      <c r="B69" s="52"/>
      <c r="C69" s="53"/>
      <c r="D69" s="54"/>
      <c r="E69" s="53"/>
      <c r="F69" s="53"/>
      <c r="G69" s="55"/>
      <c r="H69" s="55"/>
      <c r="I69" s="55"/>
      <c r="J69" s="40"/>
      <c r="K69" s="40"/>
      <c r="L69" s="40"/>
      <c r="M69" s="1"/>
      <c r="N69" s="1"/>
      <c r="O69" s="1"/>
      <c r="P69" s="1"/>
      <c r="Q69" s="1"/>
      <c r="R69" s="1"/>
      <c r="S69" s="1"/>
      <c r="T69" s="1"/>
      <c r="U69" s="1"/>
    </row>
    <row r="70" ht="15.75" customHeight="1">
      <c r="A70" s="1"/>
      <c r="B70" s="52"/>
      <c r="C70" s="53"/>
      <c r="D70" s="54"/>
      <c r="E70" s="53"/>
      <c r="F70" s="53"/>
      <c r="G70" s="55"/>
      <c r="H70" s="55"/>
      <c r="I70" s="55"/>
      <c r="J70" s="40"/>
      <c r="K70" s="40"/>
      <c r="L70" s="40"/>
      <c r="M70" s="1"/>
      <c r="N70" s="1"/>
      <c r="O70" s="1"/>
      <c r="P70" s="1"/>
      <c r="Q70" s="1"/>
      <c r="R70" s="1"/>
      <c r="S70" s="1"/>
      <c r="T70" s="1"/>
      <c r="U70" s="1"/>
    </row>
    <row r="71" ht="15.75" customHeight="1">
      <c r="A71" s="1"/>
      <c r="B71" s="52"/>
      <c r="C71" s="53"/>
      <c r="D71" s="54"/>
      <c r="E71" s="53"/>
      <c r="F71" s="53"/>
      <c r="G71" s="55"/>
      <c r="H71" s="55"/>
      <c r="I71" s="55"/>
      <c r="J71" s="40"/>
      <c r="K71" s="40"/>
      <c r="L71" s="40"/>
      <c r="M71" s="1"/>
      <c r="N71" s="1"/>
      <c r="O71" s="1"/>
      <c r="P71" s="1"/>
      <c r="Q71" s="1"/>
      <c r="R71" s="1"/>
      <c r="S71" s="1"/>
      <c r="T71" s="1"/>
      <c r="U71" s="1"/>
    </row>
    <row r="72" ht="15.75" customHeight="1">
      <c r="A72" s="1"/>
      <c r="B72" s="52"/>
      <c r="C72" s="53"/>
      <c r="D72" s="54"/>
      <c r="E72" s="53"/>
      <c r="F72" s="53"/>
      <c r="G72" s="55"/>
      <c r="H72" s="55"/>
      <c r="I72" s="55"/>
      <c r="J72" s="40"/>
      <c r="K72" s="40"/>
      <c r="L72" s="40"/>
      <c r="M72" s="1"/>
      <c r="N72" s="1"/>
      <c r="O72" s="1"/>
      <c r="P72" s="1"/>
      <c r="Q72" s="1"/>
      <c r="R72" s="1"/>
      <c r="S72" s="1"/>
      <c r="T72" s="1"/>
      <c r="U72" s="1"/>
    </row>
    <row r="73" ht="15.75" customHeight="1">
      <c r="A73" s="1"/>
      <c r="B73" s="52"/>
      <c r="C73" s="53"/>
      <c r="D73" s="54"/>
      <c r="E73" s="53"/>
      <c r="F73" s="53"/>
      <c r="G73" s="55"/>
      <c r="H73" s="55"/>
      <c r="I73" s="55"/>
      <c r="J73" s="40"/>
      <c r="K73" s="40"/>
      <c r="L73" s="40"/>
      <c r="M73" s="1"/>
      <c r="N73" s="1"/>
      <c r="O73" s="1"/>
      <c r="P73" s="1"/>
      <c r="Q73" s="1"/>
      <c r="R73" s="1"/>
      <c r="S73" s="1"/>
      <c r="T73" s="1"/>
      <c r="U73" s="1"/>
    </row>
    <row r="74" ht="15.75" customHeight="1">
      <c r="A74" s="1"/>
      <c r="B74" s="52"/>
      <c r="C74" s="53"/>
      <c r="D74" s="54"/>
      <c r="E74" s="53"/>
      <c r="F74" s="53"/>
      <c r="G74" s="55"/>
      <c r="H74" s="55"/>
      <c r="I74" s="55"/>
      <c r="J74" s="40"/>
      <c r="K74" s="40"/>
      <c r="L74" s="40"/>
      <c r="M74" s="1"/>
      <c r="N74" s="1"/>
      <c r="O74" s="1"/>
      <c r="P74" s="1"/>
      <c r="Q74" s="1"/>
      <c r="R74" s="1"/>
      <c r="S74" s="1"/>
      <c r="T74" s="1"/>
      <c r="U74" s="1"/>
    </row>
    <row r="75" ht="15.75" customHeight="1">
      <c r="A75" s="1"/>
      <c r="B75" s="52"/>
      <c r="C75" s="53"/>
      <c r="D75" s="54"/>
      <c r="E75" s="53"/>
      <c r="F75" s="53"/>
      <c r="G75" s="55"/>
      <c r="H75" s="55"/>
      <c r="I75" s="55"/>
      <c r="J75" s="40"/>
      <c r="K75" s="40"/>
      <c r="L75" s="40"/>
      <c r="M75" s="1"/>
      <c r="N75" s="1"/>
      <c r="O75" s="1"/>
      <c r="P75" s="1"/>
      <c r="Q75" s="1"/>
      <c r="R75" s="1"/>
      <c r="S75" s="1"/>
      <c r="T75" s="1"/>
      <c r="U75" s="1"/>
    </row>
    <row r="76" ht="15.75" customHeight="1">
      <c r="A76" s="1"/>
      <c r="B76" s="52"/>
      <c r="C76" s="53"/>
      <c r="D76" s="54"/>
      <c r="E76" s="53"/>
      <c r="F76" s="53"/>
      <c r="G76" s="55"/>
      <c r="H76" s="55"/>
      <c r="I76" s="55"/>
      <c r="J76" s="40"/>
      <c r="K76" s="40"/>
      <c r="L76" s="40"/>
      <c r="M76" s="1"/>
      <c r="N76" s="1"/>
      <c r="O76" s="1"/>
      <c r="P76" s="1"/>
      <c r="Q76" s="1"/>
      <c r="R76" s="1"/>
      <c r="S76" s="1"/>
      <c r="T76" s="1"/>
      <c r="U76" s="1"/>
    </row>
    <row r="77" ht="15.75" customHeight="1">
      <c r="A77" s="1"/>
      <c r="B77" s="52"/>
      <c r="C77" s="53"/>
      <c r="D77" s="54"/>
      <c r="E77" s="53"/>
      <c r="F77" s="53"/>
      <c r="G77" s="55"/>
      <c r="H77" s="55"/>
      <c r="I77" s="55"/>
      <c r="J77" s="40"/>
      <c r="K77" s="40"/>
      <c r="L77" s="40"/>
      <c r="M77" s="1"/>
      <c r="N77" s="1"/>
      <c r="O77" s="1"/>
      <c r="P77" s="1"/>
      <c r="Q77" s="1"/>
      <c r="R77" s="1"/>
      <c r="S77" s="1"/>
      <c r="T77" s="1"/>
      <c r="U77" s="1"/>
    </row>
    <row r="78" ht="15.75" customHeight="1">
      <c r="A78" s="1"/>
      <c r="B78" s="52"/>
      <c r="C78" s="53"/>
      <c r="D78" s="54"/>
      <c r="E78" s="53"/>
      <c r="F78" s="53"/>
      <c r="G78" s="55"/>
      <c r="H78" s="55"/>
      <c r="I78" s="55"/>
      <c r="J78" s="40"/>
      <c r="K78" s="40"/>
      <c r="L78" s="40"/>
      <c r="M78" s="1"/>
      <c r="N78" s="1"/>
      <c r="O78" s="1"/>
      <c r="P78" s="1"/>
      <c r="Q78" s="1"/>
      <c r="R78" s="1"/>
      <c r="S78" s="1"/>
      <c r="T78" s="1"/>
      <c r="U78" s="1"/>
    </row>
    <row r="79" ht="15.75" customHeight="1">
      <c r="A79" s="1"/>
      <c r="B79" s="52"/>
      <c r="C79" s="53"/>
      <c r="D79" s="54"/>
      <c r="E79" s="53"/>
      <c r="F79" s="53"/>
      <c r="G79" s="55"/>
      <c r="H79" s="55"/>
      <c r="I79" s="55"/>
      <c r="J79" s="40"/>
      <c r="K79" s="40"/>
      <c r="L79" s="40"/>
      <c r="M79" s="1"/>
      <c r="N79" s="1"/>
      <c r="O79" s="1"/>
      <c r="P79" s="1"/>
      <c r="Q79" s="1"/>
      <c r="R79" s="1"/>
      <c r="S79" s="1"/>
      <c r="T79" s="1"/>
      <c r="U79" s="1"/>
    </row>
    <row r="80" ht="15.75" customHeight="1">
      <c r="A80" s="1"/>
      <c r="B80" s="52"/>
      <c r="C80" s="53"/>
      <c r="D80" s="54"/>
      <c r="E80" s="53"/>
      <c r="F80" s="53"/>
      <c r="G80" s="55"/>
      <c r="H80" s="55"/>
      <c r="I80" s="55"/>
      <c r="J80" s="40"/>
      <c r="K80" s="40"/>
      <c r="L80" s="40"/>
      <c r="M80" s="1"/>
      <c r="N80" s="1"/>
      <c r="O80" s="1"/>
      <c r="P80" s="1"/>
      <c r="Q80" s="1"/>
      <c r="R80" s="1"/>
      <c r="S80" s="1"/>
      <c r="T80" s="1"/>
      <c r="U80" s="1"/>
    </row>
    <row r="81" ht="15.75" customHeight="1">
      <c r="A81" s="1"/>
      <c r="B81" s="52"/>
      <c r="C81" s="53"/>
      <c r="D81" s="54"/>
      <c r="E81" s="53"/>
      <c r="F81" s="53"/>
      <c r="G81" s="55"/>
      <c r="H81" s="55"/>
      <c r="I81" s="55"/>
      <c r="J81" s="40"/>
      <c r="K81" s="40"/>
      <c r="L81" s="40"/>
      <c r="M81" s="1"/>
      <c r="N81" s="1"/>
      <c r="O81" s="1"/>
      <c r="P81" s="1"/>
      <c r="Q81" s="1"/>
      <c r="R81" s="1"/>
      <c r="S81" s="1"/>
      <c r="T81" s="1"/>
      <c r="U81" s="1"/>
    </row>
    <row r="82" ht="15.75" customHeight="1">
      <c r="A82" s="1"/>
      <c r="B82" s="52"/>
      <c r="C82" s="53"/>
      <c r="D82" s="54"/>
      <c r="E82" s="53"/>
      <c r="F82" s="53"/>
      <c r="G82" s="55"/>
      <c r="H82" s="55"/>
      <c r="I82" s="55"/>
      <c r="J82" s="40"/>
      <c r="K82" s="40"/>
      <c r="L82" s="40"/>
      <c r="M82" s="1"/>
      <c r="N82" s="1"/>
      <c r="O82" s="1"/>
      <c r="P82" s="1"/>
      <c r="Q82" s="1"/>
      <c r="R82" s="1"/>
      <c r="S82" s="1"/>
      <c r="T82" s="1"/>
      <c r="U82" s="1"/>
    </row>
    <row r="83" ht="15.75" customHeight="1">
      <c r="A83" s="1"/>
      <c r="B83" s="52"/>
      <c r="C83" s="53"/>
      <c r="D83" s="54"/>
      <c r="E83" s="53"/>
      <c r="F83" s="53"/>
      <c r="G83" s="55"/>
      <c r="H83" s="55"/>
      <c r="I83" s="55"/>
      <c r="J83" s="40"/>
      <c r="K83" s="40"/>
      <c r="L83" s="40"/>
      <c r="M83" s="1"/>
      <c r="N83" s="1"/>
      <c r="O83" s="1"/>
      <c r="P83" s="1"/>
      <c r="Q83" s="1"/>
      <c r="R83" s="1"/>
      <c r="S83" s="1"/>
      <c r="T83" s="1"/>
      <c r="U83" s="1"/>
    </row>
    <row r="84" ht="15.75" customHeight="1">
      <c r="A84" s="1"/>
      <c r="B84" s="52"/>
      <c r="C84" s="53"/>
      <c r="D84" s="54"/>
      <c r="E84" s="53"/>
      <c r="F84" s="53"/>
      <c r="G84" s="55"/>
      <c r="H84" s="55"/>
      <c r="I84" s="55"/>
      <c r="J84" s="40"/>
      <c r="K84" s="40"/>
      <c r="L84" s="40"/>
      <c r="M84" s="1"/>
      <c r="N84" s="1"/>
      <c r="O84" s="1"/>
      <c r="P84" s="1"/>
      <c r="Q84" s="1"/>
      <c r="R84" s="1"/>
      <c r="S84" s="1"/>
      <c r="T84" s="1"/>
      <c r="U84" s="1"/>
    </row>
    <row r="85" ht="15.75" customHeight="1">
      <c r="A85" s="1"/>
      <c r="B85" s="52"/>
      <c r="C85" s="53"/>
      <c r="D85" s="54"/>
      <c r="E85" s="53"/>
      <c r="F85" s="53"/>
      <c r="G85" s="55"/>
      <c r="H85" s="55"/>
      <c r="I85" s="55"/>
      <c r="J85" s="40"/>
      <c r="K85" s="40"/>
      <c r="L85" s="40"/>
      <c r="M85" s="1"/>
      <c r="N85" s="1"/>
      <c r="O85" s="1"/>
      <c r="P85" s="1"/>
      <c r="Q85" s="1"/>
      <c r="R85" s="1"/>
      <c r="S85" s="1"/>
      <c r="T85" s="1"/>
      <c r="U85" s="1"/>
    </row>
    <row r="86" ht="15.75" customHeight="1">
      <c r="A86" s="1"/>
      <c r="B86" s="52"/>
      <c r="C86" s="53"/>
      <c r="D86" s="54"/>
      <c r="E86" s="53"/>
      <c r="F86" s="53"/>
      <c r="G86" s="55"/>
      <c r="H86" s="55"/>
      <c r="I86" s="55"/>
      <c r="J86" s="40"/>
      <c r="K86" s="40"/>
      <c r="L86" s="40"/>
      <c r="M86" s="1"/>
      <c r="N86" s="1"/>
      <c r="O86" s="1"/>
      <c r="P86" s="1"/>
      <c r="Q86" s="1"/>
      <c r="R86" s="1"/>
      <c r="S86" s="1"/>
      <c r="T86" s="1"/>
      <c r="U86" s="1"/>
    </row>
    <row r="87" ht="15.75" customHeight="1">
      <c r="A87" s="1"/>
      <c r="B87" s="52"/>
      <c r="C87" s="53"/>
      <c r="D87" s="54"/>
      <c r="E87" s="53"/>
      <c r="F87" s="53"/>
      <c r="G87" s="55"/>
      <c r="H87" s="55"/>
      <c r="I87" s="55"/>
      <c r="J87" s="40"/>
      <c r="K87" s="40"/>
      <c r="L87" s="40"/>
      <c r="M87" s="1"/>
      <c r="N87" s="1"/>
      <c r="O87" s="1"/>
      <c r="P87" s="1"/>
      <c r="Q87" s="1"/>
      <c r="R87" s="1"/>
      <c r="S87" s="1"/>
      <c r="T87" s="1"/>
      <c r="U87" s="1"/>
    </row>
    <row r="88" ht="15.75" customHeight="1">
      <c r="A88" s="1"/>
      <c r="B88" s="52"/>
      <c r="C88" s="53"/>
      <c r="D88" s="54"/>
      <c r="E88" s="53"/>
      <c r="F88" s="53"/>
      <c r="G88" s="55"/>
      <c r="H88" s="55"/>
      <c r="I88" s="55"/>
      <c r="J88" s="40"/>
      <c r="K88" s="40"/>
      <c r="L88" s="40"/>
      <c r="M88" s="1"/>
      <c r="N88" s="1"/>
      <c r="O88" s="1"/>
      <c r="P88" s="1"/>
      <c r="Q88" s="1"/>
      <c r="R88" s="1"/>
      <c r="S88" s="1"/>
      <c r="T88" s="1"/>
      <c r="U88" s="1"/>
    </row>
    <row r="89" ht="15.75" customHeight="1">
      <c r="A89" s="1"/>
      <c r="B89" s="52"/>
      <c r="C89" s="53"/>
      <c r="D89" s="54"/>
      <c r="E89" s="53"/>
      <c r="F89" s="53"/>
      <c r="G89" s="55"/>
      <c r="H89" s="55"/>
      <c r="I89" s="55"/>
      <c r="J89" s="40"/>
      <c r="K89" s="40"/>
      <c r="L89" s="40"/>
      <c r="M89" s="1"/>
      <c r="N89" s="1"/>
      <c r="O89" s="1"/>
      <c r="P89" s="1"/>
      <c r="Q89" s="1"/>
      <c r="R89" s="1"/>
      <c r="S89" s="1"/>
      <c r="T89" s="1"/>
      <c r="U89" s="1"/>
    </row>
    <row r="90" ht="15.75" customHeight="1">
      <c r="A90" s="1"/>
      <c r="B90" s="52"/>
      <c r="C90" s="53"/>
      <c r="D90" s="54"/>
      <c r="E90" s="53"/>
      <c r="F90" s="53"/>
      <c r="G90" s="55"/>
      <c r="H90" s="55"/>
      <c r="I90" s="55"/>
      <c r="J90" s="40"/>
      <c r="K90" s="40"/>
      <c r="L90" s="40"/>
      <c r="M90" s="1"/>
      <c r="N90" s="1"/>
      <c r="O90" s="1"/>
      <c r="P90" s="1"/>
      <c r="Q90" s="1"/>
      <c r="R90" s="1"/>
      <c r="S90" s="1"/>
      <c r="T90" s="1"/>
      <c r="U90" s="1"/>
    </row>
    <row r="91" ht="15.75" customHeight="1">
      <c r="A91" s="1"/>
      <c r="B91" s="52"/>
      <c r="C91" s="53"/>
      <c r="D91" s="54"/>
      <c r="E91" s="53"/>
      <c r="F91" s="53"/>
      <c r="G91" s="55"/>
      <c r="H91" s="55"/>
      <c r="I91" s="55"/>
      <c r="J91" s="40"/>
      <c r="K91" s="40"/>
      <c r="L91" s="40"/>
      <c r="M91" s="1"/>
      <c r="N91" s="1"/>
      <c r="O91" s="1"/>
      <c r="P91" s="1"/>
      <c r="Q91" s="1"/>
      <c r="R91" s="1"/>
      <c r="S91" s="1"/>
      <c r="T91" s="1"/>
      <c r="U91" s="1"/>
    </row>
    <row r="92" ht="15.75" customHeight="1">
      <c r="A92" s="1"/>
      <c r="B92" s="52"/>
      <c r="C92" s="53"/>
      <c r="D92" s="54"/>
      <c r="E92" s="53"/>
      <c r="F92" s="53"/>
      <c r="G92" s="55"/>
      <c r="H92" s="55"/>
      <c r="I92" s="55"/>
      <c r="J92" s="40"/>
      <c r="K92" s="40"/>
      <c r="L92" s="40"/>
      <c r="M92" s="1"/>
      <c r="N92" s="1"/>
      <c r="O92" s="1"/>
      <c r="P92" s="1"/>
      <c r="Q92" s="1"/>
      <c r="R92" s="1"/>
      <c r="S92" s="1"/>
      <c r="T92" s="1"/>
      <c r="U92" s="1"/>
    </row>
    <row r="93" ht="15.75" customHeight="1">
      <c r="A93" s="1"/>
      <c r="B93" s="52"/>
      <c r="C93" s="53"/>
      <c r="D93" s="54"/>
      <c r="E93" s="53"/>
      <c r="F93" s="53"/>
      <c r="G93" s="55"/>
      <c r="H93" s="55"/>
      <c r="I93" s="55"/>
      <c r="J93" s="40"/>
      <c r="K93" s="40"/>
      <c r="L93" s="40"/>
      <c r="M93" s="1"/>
      <c r="N93" s="1"/>
      <c r="O93" s="1"/>
      <c r="P93" s="1"/>
      <c r="Q93" s="1"/>
      <c r="R93" s="1"/>
      <c r="S93" s="1"/>
      <c r="T93" s="1"/>
      <c r="U93" s="1"/>
    </row>
    <row r="94" ht="15.75" customHeight="1">
      <c r="A94" s="1"/>
      <c r="B94" s="52"/>
      <c r="C94" s="53"/>
      <c r="D94" s="54"/>
      <c r="E94" s="53"/>
      <c r="F94" s="53"/>
      <c r="G94" s="55"/>
      <c r="H94" s="55"/>
      <c r="I94" s="55"/>
      <c r="J94" s="40"/>
      <c r="K94" s="40"/>
      <c r="L94" s="40"/>
      <c r="M94" s="1"/>
      <c r="N94" s="1"/>
      <c r="O94" s="1"/>
      <c r="P94" s="1"/>
      <c r="Q94" s="1"/>
      <c r="R94" s="1"/>
      <c r="S94" s="1"/>
      <c r="T94" s="1"/>
      <c r="U94" s="1"/>
    </row>
    <row r="95" ht="15.75" customHeight="1">
      <c r="A95" s="1"/>
      <c r="B95" s="52"/>
      <c r="C95" s="53"/>
      <c r="D95" s="54"/>
      <c r="E95" s="53"/>
      <c r="F95" s="53"/>
      <c r="G95" s="55"/>
      <c r="H95" s="55"/>
      <c r="I95" s="55"/>
      <c r="J95" s="40"/>
      <c r="K95" s="40"/>
      <c r="L95" s="40"/>
      <c r="M95" s="1"/>
      <c r="N95" s="1"/>
      <c r="O95" s="1"/>
      <c r="P95" s="1"/>
      <c r="Q95" s="1"/>
      <c r="R95" s="1"/>
      <c r="S95" s="1"/>
      <c r="T95" s="1"/>
      <c r="U95" s="1"/>
    </row>
    <row r="96" ht="15.75" customHeight="1">
      <c r="A96" s="1"/>
      <c r="B96" s="52"/>
      <c r="C96" s="53"/>
      <c r="D96" s="54"/>
      <c r="E96" s="53"/>
      <c r="F96" s="53"/>
      <c r="G96" s="55"/>
      <c r="H96" s="55"/>
      <c r="I96" s="55"/>
      <c r="J96" s="40"/>
      <c r="K96" s="40"/>
      <c r="L96" s="40"/>
      <c r="M96" s="1"/>
      <c r="N96" s="1"/>
      <c r="O96" s="1"/>
      <c r="P96" s="1"/>
      <c r="Q96" s="1"/>
      <c r="R96" s="1"/>
      <c r="S96" s="1"/>
      <c r="T96" s="1"/>
      <c r="U96" s="1"/>
    </row>
    <row r="97" ht="15.75" customHeight="1">
      <c r="A97" s="1"/>
      <c r="B97" s="52"/>
      <c r="C97" s="53"/>
      <c r="D97" s="54"/>
      <c r="E97" s="53"/>
      <c r="F97" s="53"/>
      <c r="G97" s="55"/>
      <c r="H97" s="55"/>
      <c r="I97" s="55"/>
      <c r="J97" s="40"/>
      <c r="K97" s="40"/>
      <c r="L97" s="40"/>
      <c r="M97" s="1"/>
      <c r="N97" s="1"/>
      <c r="O97" s="1"/>
      <c r="P97" s="1"/>
      <c r="Q97" s="1"/>
      <c r="R97" s="1"/>
      <c r="S97" s="1"/>
      <c r="T97" s="1"/>
      <c r="U97" s="1"/>
    </row>
    <row r="98" ht="15.75" customHeight="1">
      <c r="A98" s="1"/>
      <c r="B98" s="52"/>
      <c r="C98" s="53"/>
      <c r="D98" s="54"/>
      <c r="E98" s="53"/>
      <c r="F98" s="53"/>
      <c r="G98" s="55"/>
      <c r="H98" s="55"/>
      <c r="I98" s="55"/>
      <c r="J98" s="40"/>
      <c r="K98" s="40"/>
      <c r="L98" s="40"/>
      <c r="M98" s="1"/>
      <c r="N98" s="1"/>
      <c r="O98" s="1"/>
      <c r="P98" s="1"/>
      <c r="Q98" s="1"/>
      <c r="R98" s="1"/>
      <c r="S98" s="1"/>
      <c r="T98" s="1"/>
      <c r="U98" s="1"/>
    </row>
    <row r="99" ht="15.75" customHeight="1">
      <c r="A99" s="1"/>
      <c r="B99" s="52"/>
      <c r="C99" s="53"/>
      <c r="D99" s="54"/>
      <c r="E99" s="53"/>
      <c r="F99" s="53"/>
      <c r="G99" s="55"/>
      <c r="H99" s="55"/>
      <c r="I99" s="55"/>
      <c r="J99" s="40"/>
      <c r="K99" s="40"/>
      <c r="L99" s="40"/>
      <c r="M99" s="1"/>
      <c r="N99" s="1"/>
      <c r="O99" s="1"/>
      <c r="P99" s="1"/>
      <c r="Q99" s="1"/>
      <c r="R99" s="1"/>
      <c r="S99" s="1"/>
      <c r="T99" s="1"/>
      <c r="U99" s="1"/>
    </row>
    <row r="100" ht="15.75" customHeight="1">
      <c r="A100" s="1"/>
      <c r="B100" s="52"/>
      <c r="C100" s="53"/>
      <c r="D100" s="54"/>
      <c r="E100" s="53"/>
      <c r="F100" s="53"/>
      <c r="G100" s="55"/>
      <c r="H100" s="55"/>
      <c r="I100" s="55"/>
      <c r="J100" s="40"/>
      <c r="K100" s="40"/>
      <c r="L100" s="40"/>
      <c r="M100" s="1"/>
      <c r="N100" s="1"/>
      <c r="O100" s="1"/>
      <c r="P100" s="1"/>
      <c r="Q100" s="1"/>
      <c r="R100" s="1"/>
      <c r="S100" s="1"/>
      <c r="T100" s="1"/>
      <c r="U100" s="1"/>
    </row>
    <row r="101" ht="15.75" customHeight="1">
      <c r="A101" s="1"/>
      <c r="B101" s="52"/>
      <c r="C101" s="53"/>
      <c r="D101" s="54"/>
      <c r="E101" s="53"/>
      <c r="F101" s="53"/>
      <c r="G101" s="55"/>
      <c r="H101" s="55"/>
      <c r="I101" s="55"/>
      <c r="J101" s="40"/>
      <c r="K101" s="40"/>
      <c r="L101" s="40"/>
      <c r="M101" s="1"/>
      <c r="N101" s="1"/>
      <c r="O101" s="1"/>
      <c r="P101" s="1"/>
      <c r="Q101" s="1"/>
      <c r="R101" s="1"/>
      <c r="S101" s="1"/>
      <c r="T101" s="1"/>
      <c r="U101" s="1"/>
    </row>
    <row r="102" ht="15.75" customHeight="1">
      <c r="A102" s="1"/>
      <c r="B102" s="52"/>
      <c r="C102" s="53"/>
      <c r="D102" s="54"/>
      <c r="E102" s="53"/>
      <c r="F102" s="53"/>
      <c r="G102" s="55"/>
      <c r="H102" s="55"/>
      <c r="I102" s="55"/>
      <c r="J102" s="40"/>
      <c r="K102" s="40"/>
      <c r="L102" s="40"/>
      <c r="M102" s="1"/>
      <c r="N102" s="1"/>
      <c r="O102" s="1"/>
      <c r="P102" s="1"/>
      <c r="Q102" s="1"/>
      <c r="R102" s="1"/>
      <c r="S102" s="1"/>
      <c r="T102" s="1"/>
      <c r="U102" s="1"/>
    </row>
    <row r="103" ht="15.75" customHeight="1">
      <c r="A103" s="1"/>
      <c r="B103" s="52"/>
      <c r="C103" s="53"/>
      <c r="D103" s="54"/>
      <c r="E103" s="53"/>
      <c r="F103" s="53"/>
      <c r="G103" s="55"/>
      <c r="H103" s="55"/>
      <c r="I103" s="55"/>
      <c r="J103" s="40"/>
      <c r="K103" s="40"/>
      <c r="L103" s="40"/>
      <c r="M103" s="1"/>
      <c r="N103" s="1"/>
      <c r="O103" s="1"/>
      <c r="P103" s="1"/>
      <c r="Q103" s="1"/>
      <c r="R103" s="1"/>
      <c r="S103" s="1"/>
      <c r="T103" s="1"/>
      <c r="U103" s="1"/>
    </row>
    <row r="104" ht="15.75" customHeight="1">
      <c r="A104" s="1"/>
      <c r="B104" s="52"/>
      <c r="C104" s="53"/>
      <c r="D104" s="54"/>
      <c r="E104" s="53"/>
      <c r="F104" s="53"/>
      <c r="G104" s="55"/>
      <c r="H104" s="55"/>
      <c r="I104" s="55"/>
      <c r="J104" s="40"/>
      <c r="K104" s="40"/>
      <c r="L104" s="40"/>
      <c r="M104" s="1"/>
      <c r="N104" s="1"/>
      <c r="O104" s="1"/>
      <c r="P104" s="1"/>
      <c r="Q104" s="1"/>
      <c r="R104" s="1"/>
      <c r="S104" s="1"/>
      <c r="T104" s="1"/>
      <c r="U104" s="1"/>
    </row>
    <row r="105" ht="15.75" customHeight="1">
      <c r="A105" s="1"/>
      <c r="B105" s="52"/>
      <c r="C105" s="53"/>
      <c r="D105" s="54"/>
      <c r="E105" s="53"/>
      <c r="F105" s="53"/>
      <c r="G105" s="55"/>
      <c r="H105" s="55"/>
      <c r="I105" s="55"/>
      <c r="J105" s="40"/>
      <c r="K105" s="40"/>
      <c r="L105" s="40"/>
      <c r="M105" s="1"/>
      <c r="N105" s="1"/>
      <c r="O105" s="1"/>
      <c r="P105" s="1"/>
      <c r="Q105" s="1"/>
      <c r="R105" s="1"/>
      <c r="S105" s="1"/>
      <c r="T105" s="1"/>
      <c r="U105" s="1"/>
    </row>
    <row r="106" ht="15.75" customHeight="1">
      <c r="A106" s="1"/>
      <c r="B106" s="52"/>
      <c r="C106" s="53"/>
      <c r="D106" s="54"/>
      <c r="E106" s="53"/>
      <c r="F106" s="53"/>
      <c r="G106" s="55"/>
      <c r="H106" s="55"/>
      <c r="I106" s="55"/>
      <c r="J106" s="40"/>
      <c r="K106" s="40"/>
      <c r="L106" s="40"/>
      <c r="M106" s="1"/>
      <c r="N106" s="1"/>
      <c r="O106" s="1"/>
      <c r="P106" s="1"/>
      <c r="Q106" s="1"/>
      <c r="R106" s="1"/>
      <c r="S106" s="1"/>
      <c r="T106" s="1"/>
      <c r="U106" s="1"/>
    </row>
    <row r="107" ht="15.75" customHeight="1">
      <c r="A107" s="1"/>
      <c r="B107" s="52"/>
      <c r="C107" s="53"/>
      <c r="D107" s="54"/>
      <c r="E107" s="53"/>
      <c r="F107" s="53"/>
      <c r="G107" s="55"/>
      <c r="H107" s="55"/>
      <c r="I107" s="55"/>
      <c r="J107" s="40"/>
      <c r="K107" s="40"/>
      <c r="L107" s="40"/>
      <c r="M107" s="1"/>
      <c r="N107" s="1"/>
      <c r="O107" s="1"/>
      <c r="P107" s="1"/>
      <c r="Q107" s="1"/>
      <c r="R107" s="1"/>
      <c r="S107" s="1"/>
      <c r="T107" s="1"/>
      <c r="U107" s="1"/>
    </row>
    <row r="108" ht="15.75" customHeight="1">
      <c r="A108" s="1"/>
      <c r="B108" s="52"/>
      <c r="C108" s="53"/>
      <c r="D108" s="54"/>
      <c r="E108" s="53"/>
      <c r="F108" s="53"/>
      <c r="G108" s="55"/>
      <c r="H108" s="55"/>
      <c r="I108" s="55"/>
      <c r="J108" s="40"/>
      <c r="K108" s="40"/>
      <c r="L108" s="40"/>
      <c r="M108" s="1"/>
      <c r="N108" s="1"/>
      <c r="O108" s="1"/>
      <c r="P108" s="1"/>
      <c r="Q108" s="1"/>
      <c r="R108" s="1"/>
      <c r="S108" s="1"/>
      <c r="T108" s="1"/>
      <c r="U108" s="1"/>
    </row>
    <row r="109" ht="15.75" customHeight="1">
      <c r="A109" s="1"/>
      <c r="B109" s="52"/>
      <c r="C109" s="53"/>
      <c r="D109" s="54"/>
      <c r="E109" s="53"/>
      <c r="F109" s="53"/>
      <c r="G109" s="55"/>
      <c r="H109" s="55"/>
      <c r="I109" s="55"/>
      <c r="J109" s="40"/>
      <c r="K109" s="40"/>
      <c r="L109" s="40"/>
      <c r="M109" s="1"/>
      <c r="N109" s="1"/>
      <c r="O109" s="1"/>
      <c r="P109" s="1"/>
      <c r="Q109" s="1"/>
      <c r="R109" s="1"/>
      <c r="S109" s="1"/>
      <c r="T109" s="1"/>
      <c r="U109" s="1"/>
    </row>
    <row r="110" ht="15.75" customHeight="1">
      <c r="A110" s="1"/>
      <c r="B110" s="52"/>
      <c r="C110" s="53"/>
      <c r="D110" s="54"/>
      <c r="E110" s="53"/>
      <c r="F110" s="53"/>
      <c r="G110" s="55"/>
      <c r="H110" s="55"/>
      <c r="I110" s="55"/>
      <c r="J110" s="40"/>
      <c r="K110" s="40"/>
      <c r="L110" s="40"/>
      <c r="M110" s="1"/>
      <c r="N110" s="1"/>
      <c r="O110" s="1"/>
      <c r="P110" s="1"/>
      <c r="Q110" s="1"/>
      <c r="R110" s="1"/>
      <c r="S110" s="1"/>
      <c r="T110" s="1"/>
      <c r="U110" s="1"/>
    </row>
    <row r="111" ht="15.75" customHeight="1">
      <c r="A111" s="1"/>
      <c r="B111" s="52"/>
      <c r="C111" s="53"/>
      <c r="D111" s="54"/>
      <c r="E111" s="53"/>
      <c r="F111" s="53"/>
      <c r="G111" s="55"/>
      <c r="H111" s="55"/>
      <c r="I111" s="55"/>
      <c r="J111" s="40"/>
      <c r="K111" s="40"/>
      <c r="L111" s="40"/>
      <c r="M111" s="1"/>
      <c r="N111" s="1"/>
      <c r="O111" s="1"/>
      <c r="P111" s="1"/>
      <c r="Q111" s="1"/>
      <c r="R111" s="1"/>
      <c r="S111" s="1"/>
      <c r="T111" s="1"/>
      <c r="U111" s="1"/>
    </row>
    <row r="112" ht="15.75" customHeight="1">
      <c r="A112" s="1"/>
      <c r="B112" s="52"/>
      <c r="C112" s="53"/>
      <c r="D112" s="54"/>
      <c r="E112" s="53"/>
      <c r="F112" s="53"/>
      <c r="G112" s="55"/>
      <c r="H112" s="55"/>
      <c r="I112" s="55"/>
      <c r="J112" s="40"/>
      <c r="K112" s="40"/>
      <c r="L112" s="40"/>
      <c r="M112" s="1"/>
      <c r="N112" s="1"/>
      <c r="O112" s="1"/>
      <c r="P112" s="1"/>
      <c r="Q112" s="1"/>
      <c r="R112" s="1"/>
      <c r="S112" s="1"/>
      <c r="T112" s="1"/>
      <c r="U112" s="1"/>
    </row>
    <row r="113" ht="15.75" customHeight="1">
      <c r="A113" s="1"/>
      <c r="B113" s="52"/>
      <c r="C113" s="53"/>
      <c r="D113" s="54"/>
      <c r="E113" s="53"/>
      <c r="F113" s="53"/>
      <c r="G113" s="55"/>
      <c r="H113" s="55"/>
      <c r="I113" s="55"/>
      <c r="J113" s="40"/>
      <c r="K113" s="40"/>
      <c r="L113" s="40"/>
      <c r="M113" s="1"/>
      <c r="N113" s="1"/>
      <c r="O113" s="1"/>
      <c r="P113" s="1"/>
      <c r="Q113" s="1"/>
      <c r="R113" s="1"/>
      <c r="S113" s="1"/>
      <c r="T113" s="1"/>
      <c r="U113" s="1"/>
    </row>
    <row r="114" ht="15.75" customHeight="1">
      <c r="A114" s="1"/>
      <c r="B114" s="52"/>
      <c r="C114" s="53"/>
      <c r="D114" s="54"/>
      <c r="E114" s="53"/>
      <c r="F114" s="53"/>
      <c r="G114" s="55"/>
      <c r="H114" s="55"/>
      <c r="I114" s="55"/>
      <c r="J114" s="40"/>
      <c r="K114" s="40"/>
      <c r="L114" s="40"/>
      <c r="M114" s="1"/>
      <c r="N114" s="1"/>
      <c r="O114" s="1"/>
      <c r="P114" s="1"/>
      <c r="Q114" s="1"/>
      <c r="R114" s="1"/>
      <c r="S114" s="1"/>
      <c r="T114" s="1"/>
      <c r="U114" s="1"/>
    </row>
    <row r="115" ht="15.75" customHeight="1">
      <c r="A115" s="1"/>
      <c r="B115" s="1"/>
      <c r="C115" s="1"/>
      <c r="D115" s="2"/>
      <c r="E115" s="1"/>
      <c r="F115" s="1"/>
      <c r="G115" s="1"/>
      <c r="H115" s="1"/>
      <c r="I115" s="1"/>
      <c r="J115" s="1"/>
      <c r="K115" s="1"/>
      <c r="L115" s="1"/>
      <c r="M115" s="1"/>
      <c r="N115" s="1"/>
      <c r="O115" s="1"/>
      <c r="P115" s="1"/>
      <c r="Q115" s="1"/>
      <c r="R115" s="1"/>
      <c r="S115" s="1"/>
      <c r="T115" s="1"/>
      <c r="U115" s="1"/>
    </row>
    <row r="116" ht="15.75" customHeight="1">
      <c r="A116" s="1"/>
      <c r="B116" s="1"/>
      <c r="C116" s="1"/>
      <c r="D116" s="2"/>
      <c r="E116" s="1"/>
      <c r="F116" s="1"/>
      <c r="G116" s="1"/>
      <c r="H116" s="1"/>
      <c r="I116" s="1"/>
      <c r="J116" s="1"/>
      <c r="K116" s="1"/>
      <c r="L116" s="1"/>
      <c r="M116" s="1"/>
      <c r="N116" s="1"/>
      <c r="O116" s="1"/>
      <c r="P116" s="1"/>
      <c r="Q116" s="1"/>
      <c r="R116" s="1"/>
      <c r="S116" s="1"/>
      <c r="T116" s="1"/>
      <c r="U116" s="1"/>
    </row>
    <row r="117" ht="15.75" customHeight="1">
      <c r="A117" s="1"/>
      <c r="B117" s="1"/>
      <c r="C117" s="1"/>
      <c r="D117" s="2"/>
      <c r="E117" s="1"/>
      <c r="F117" s="1"/>
      <c r="G117" s="1"/>
      <c r="H117" s="1"/>
      <c r="I117" s="1"/>
      <c r="J117" s="1"/>
      <c r="K117" s="1"/>
      <c r="L117" s="1"/>
      <c r="M117" s="1"/>
      <c r="N117" s="1"/>
      <c r="O117" s="1"/>
      <c r="P117" s="1"/>
      <c r="Q117" s="1"/>
      <c r="R117" s="1"/>
      <c r="S117" s="1"/>
      <c r="T117" s="1"/>
      <c r="U117" s="1"/>
    </row>
    <row r="118" ht="15.75" customHeight="1">
      <c r="A118" s="1"/>
      <c r="B118" s="1"/>
      <c r="C118" s="1"/>
      <c r="D118" s="2"/>
      <c r="E118" s="1"/>
      <c r="F118" s="1"/>
      <c r="G118" s="1"/>
      <c r="H118" s="1"/>
      <c r="I118" s="1"/>
      <c r="J118" s="1"/>
      <c r="K118" s="1"/>
      <c r="L118" s="1"/>
      <c r="M118" s="1"/>
      <c r="N118" s="1"/>
      <c r="O118" s="1"/>
      <c r="P118" s="1"/>
      <c r="Q118" s="1"/>
      <c r="R118" s="1"/>
      <c r="S118" s="1"/>
      <c r="T118" s="1"/>
      <c r="U118" s="1"/>
    </row>
    <row r="119" ht="15.75" customHeight="1">
      <c r="A119" s="1"/>
      <c r="B119" s="1"/>
      <c r="C119" s="1"/>
      <c r="D119" s="2"/>
      <c r="E119" s="1"/>
      <c r="F119" s="1"/>
      <c r="G119" s="1"/>
      <c r="H119" s="1"/>
      <c r="I119" s="1"/>
      <c r="J119" s="1"/>
      <c r="K119" s="1"/>
      <c r="L119" s="1"/>
      <c r="M119" s="1"/>
      <c r="N119" s="1"/>
      <c r="O119" s="1"/>
      <c r="P119" s="1"/>
      <c r="Q119" s="1"/>
      <c r="R119" s="1"/>
      <c r="S119" s="1"/>
      <c r="T119" s="1"/>
      <c r="U119" s="1"/>
    </row>
    <row r="120" ht="15.75" customHeight="1">
      <c r="A120" s="1"/>
      <c r="B120" s="1"/>
      <c r="C120" s="1"/>
      <c r="D120" s="2"/>
      <c r="E120" s="1"/>
      <c r="F120" s="1"/>
      <c r="G120" s="1"/>
      <c r="H120" s="1"/>
      <c r="I120" s="1"/>
      <c r="J120" s="1"/>
      <c r="K120" s="1"/>
      <c r="L120" s="1"/>
      <c r="M120" s="1"/>
      <c r="N120" s="1"/>
      <c r="O120" s="1"/>
      <c r="P120" s="1"/>
      <c r="Q120" s="1"/>
      <c r="R120" s="1"/>
      <c r="S120" s="1"/>
      <c r="T120" s="1"/>
      <c r="U120" s="1"/>
    </row>
    <row r="121" ht="15.75" customHeight="1">
      <c r="A121" s="1"/>
      <c r="B121" s="1"/>
      <c r="C121" s="1"/>
      <c r="D121" s="2"/>
      <c r="E121" s="1"/>
      <c r="F121" s="1"/>
      <c r="G121" s="1"/>
      <c r="H121" s="1"/>
      <c r="I121" s="1"/>
      <c r="J121" s="1"/>
      <c r="K121" s="1"/>
      <c r="L121" s="1"/>
      <c r="M121" s="1"/>
      <c r="N121" s="1"/>
      <c r="O121" s="1"/>
      <c r="P121" s="1"/>
      <c r="Q121" s="1"/>
      <c r="R121" s="1"/>
      <c r="S121" s="1"/>
      <c r="T121" s="1"/>
      <c r="U121" s="1"/>
    </row>
    <row r="122" ht="15.75" customHeight="1">
      <c r="A122" s="1"/>
      <c r="B122" s="1"/>
      <c r="C122" s="1"/>
      <c r="D122" s="2"/>
      <c r="E122" s="1"/>
      <c r="F122" s="1"/>
      <c r="G122" s="1"/>
      <c r="H122" s="1"/>
      <c r="I122" s="1"/>
      <c r="J122" s="1"/>
      <c r="K122" s="1"/>
      <c r="L122" s="1"/>
      <c r="M122" s="1"/>
      <c r="N122" s="1"/>
      <c r="O122" s="1"/>
      <c r="P122" s="1"/>
      <c r="Q122" s="1"/>
      <c r="R122" s="1"/>
      <c r="S122" s="1"/>
      <c r="T122" s="1"/>
      <c r="U122" s="1"/>
    </row>
    <row r="123" ht="15.75" customHeight="1">
      <c r="A123" s="1"/>
      <c r="B123" s="1"/>
      <c r="C123" s="1"/>
      <c r="D123" s="2"/>
      <c r="E123" s="1"/>
      <c r="F123" s="1"/>
      <c r="G123" s="1"/>
      <c r="H123" s="1"/>
      <c r="I123" s="1"/>
      <c r="J123" s="1"/>
      <c r="K123" s="1"/>
      <c r="L123" s="1"/>
      <c r="M123" s="1"/>
      <c r="N123" s="1"/>
      <c r="O123" s="1"/>
      <c r="P123" s="1"/>
      <c r="Q123" s="1"/>
      <c r="R123" s="1"/>
      <c r="S123" s="1"/>
      <c r="T123" s="1"/>
      <c r="U123" s="1"/>
    </row>
    <row r="124" ht="15.75" customHeight="1">
      <c r="A124" s="1"/>
      <c r="B124" s="1"/>
      <c r="C124" s="1"/>
      <c r="D124" s="2"/>
      <c r="E124" s="1"/>
      <c r="F124" s="1"/>
      <c r="G124" s="1"/>
      <c r="H124" s="1"/>
      <c r="I124" s="1"/>
      <c r="J124" s="1"/>
      <c r="K124" s="1"/>
      <c r="L124" s="1"/>
      <c r="M124" s="1"/>
      <c r="N124" s="1"/>
      <c r="O124" s="1"/>
      <c r="P124" s="1"/>
      <c r="Q124" s="1"/>
      <c r="R124" s="1"/>
      <c r="S124" s="1"/>
      <c r="T124" s="1"/>
      <c r="U124" s="1"/>
    </row>
    <row r="125" ht="15.75" customHeight="1">
      <c r="A125" s="1"/>
      <c r="B125" s="1"/>
      <c r="C125" s="1"/>
      <c r="D125" s="2"/>
      <c r="E125" s="1"/>
      <c r="F125" s="1"/>
      <c r="G125" s="1"/>
      <c r="H125" s="1"/>
      <c r="I125" s="1"/>
      <c r="J125" s="1"/>
      <c r="K125" s="1"/>
      <c r="L125" s="1"/>
      <c r="M125" s="1"/>
      <c r="N125" s="1"/>
      <c r="O125" s="1"/>
      <c r="P125" s="1"/>
      <c r="Q125" s="1"/>
      <c r="R125" s="1"/>
      <c r="S125" s="1"/>
      <c r="T125" s="1"/>
      <c r="U125" s="1"/>
    </row>
    <row r="126" ht="15.75" customHeight="1">
      <c r="A126" s="1"/>
      <c r="B126" s="1"/>
      <c r="C126" s="1"/>
      <c r="D126" s="2"/>
      <c r="E126" s="1"/>
      <c r="F126" s="1"/>
      <c r="G126" s="1"/>
      <c r="H126" s="1"/>
      <c r="I126" s="1"/>
      <c r="J126" s="1"/>
      <c r="K126" s="1"/>
      <c r="L126" s="1"/>
      <c r="M126" s="1"/>
      <c r="N126" s="1"/>
      <c r="O126" s="1"/>
      <c r="P126" s="1"/>
      <c r="Q126" s="1"/>
      <c r="R126" s="1"/>
      <c r="S126" s="1"/>
      <c r="T126" s="1"/>
      <c r="U126" s="1"/>
    </row>
    <row r="127" ht="15.75" customHeight="1">
      <c r="A127" s="1"/>
      <c r="B127" s="1"/>
      <c r="C127" s="1"/>
      <c r="D127" s="2"/>
      <c r="E127" s="1"/>
      <c r="F127" s="1"/>
      <c r="G127" s="1"/>
      <c r="H127" s="1"/>
      <c r="I127" s="1"/>
      <c r="J127" s="1"/>
      <c r="K127" s="1"/>
      <c r="L127" s="1"/>
      <c r="M127" s="1"/>
      <c r="N127" s="1"/>
      <c r="O127" s="1"/>
      <c r="P127" s="1"/>
      <c r="Q127" s="1"/>
      <c r="R127" s="1"/>
      <c r="S127" s="1"/>
      <c r="T127" s="1"/>
      <c r="U127" s="1"/>
    </row>
    <row r="128" ht="15.75" customHeight="1">
      <c r="A128" s="1"/>
      <c r="B128" s="1"/>
      <c r="C128" s="1"/>
      <c r="D128" s="2"/>
      <c r="E128" s="1"/>
      <c r="F128" s="1"/>
      <c r="G128" s="1"/>
      <c r="H128" s="1"/>
      <c r="I128" s="1"/>
      <c r="J128" s="1"/>
      <c r="K128" s="1"/>
      <c r="L128" s="1"/>
      <c r="M128" s="1"/>
      <c r="N128" s="1"/>
      <c r="O128" s="1"/>
      <c r="P128" s="1"/>
      <c r="Q128" s="1"/>
      <c r="R128" s="1"/>
      <c r="S128" s="1"/>
      <c r="T128" s="1"/>
      <c r="U128" s="1"/>
    </row>
    <row r="129" ht="15.75" customHeight="1">
      <c r="A129" s="1"/>
      <c r="B129" s="1"/>
      <c r="C129" s="1"/>
      <c r="D129" s="2"/>
      <c r="E129" s="1"/>
      <c r="F129" s="1"/>
      <c r="G129" s="1"/>
      <c r="H129" s="1"/>
      <c r="I129" s="1"/>
      <c r="J129" s="1"/>
      <c r="K129" s="1"/>
      <c r="L129" s="1"/>
      <c r="M129" s="1"/>
      <c r="N129" s="1"/>
      <c r="O129" s="1"/>
      <c r="P129" s="1"/>
      <c r="Q129" s="1"/>
      <c r="R129" s="1"/>
      <c r="S129" s="1"/>
      <c r="T129" s="1"/>
      <c r="U129" s="1"/>
    </row>
    <row r="130" ht="15.75" customHeight="1">
      <c r="A130" s="1"/>
      <c r="B130" s="1"/>
      <c r="C130" s="1"/>
      <c r="D130" s="2"/>
      <c r="E130" s="1"/>
      <c r="F130" s="1"/>
      <c r="G130" s="1"/>
      <c r="H130" s="1"/>
      <c r="I130" s="1"/>
      <c r="J130" s="1"/>
      <c r="K130" s="1"/>
      <c r="L130" s="1"/>
      <c r="M130" s="1"/>
      <c r="N130" s="1"/>
      <c r="O130" s="1"/>
      <c r="P130" s="1"/>
      <c r="Q130" s="1"/>
      <c r="R130" s="1"/>
      <c r="S130" s="1"/>
      <c r="T130" s="1"/>
      <c r="U130" s="1"/>
    </row>
    <row r="131" ht="15.75" customHeight="1">
      <c r="A131" s="1"/>
      <c r="B131" s="1"/>
      <c r="C131" s="1"/>
      <c r="D131" s="2"/>
      <c r="E131" s="1"/>
      <c r="F131" s="1"/>
      <c r="G131" s="1"/>
      <c r="H131" s="1"/>
      <c r="I131" s="1"/>
      <c r="J131" s="1"/>
      <c r="K131" s="1"/>
      <c r="L131" s="1"/>
      <c r="M131" s="1"/>
      <c r="N131" s="1"/>
      <c r="O131" s="1"/>
      <c r="P131" s="1"/>
      <c r="Q131" s="1"/>
      <c r="R131" s="1"/>
      <c r="S131" s="1"/>
      <c r="T131" s="1"/>
      <c r="U131" s="1"/>
    </row>
    <row r="132" ht="15.75" customHeight="1">
      <c r="A132" s="1"/>
      <c r="B132" s="1"/>
      <c r="C132" s="1"/>
      <c r="D132" s="2"/>
      <c r="E132" s="1"/>
      <c r="F132" s="1"/>
      <c r="G132" s="1"/>
      <c r="H132" s="1"/>
      <c r="I132" s="1"/>
      <c r="J132" s="1"/>
      <c r="K132" s="1"/>
      <c r="L132" s="1"/>
      <c r="M132" s="1"/>
      <c r="N132" s="1"/>
      <c r="O132" s="1"/>
      <c r="P132" s="1"/>
      <c r="Q132" s="1"/>
      <c r="R132" s="1"/>
      <c r="S132" s="1"/>
      <c r="T132" s="1"/>
      <c r="U132" s="1"/>
    </row>
    <row r="133" ht="15.75" customHeight="1">
      <c r="A133" s="1"/>
      <c r="B133" s="1"/>
      <c r="C133" s="1"/>
      <c r="D133" s="2"/>
      <c r="E133" s="1"/>
      <c r="F133" s="1"/>
      <c r="G133" s="1"/>
      <c r="H133" s="1"/>
      <c r="I133" s="1"/>
      <c r="J133" s="1"/>
      <c r="K133" s="1"/>
      <c r="L133" s="1"/>
      <c r="M133" s="1"/>
      <c r="N133" s="1"/>
      <c r="O133" s="1"/>
      <c r="P133" s="1"/>
      <c r="Q133" s="1"/>
      <c r="R133" s="1"/>
      <c r="S133" s="1"/>
      <c r="T133" s="1"/>
      <c r="U133" s="1"/>
    </row>
    <row r="134" ht="15.75" customHeight="1">
      <c r="A134" s="1"/>
      <c r="B134" s="1"/>
      <c r="C134" s="1"/>
      <c r="D134" s="2"/>
      <c r="E134" s="1"/>
      <c r="F134" s="1"/>
      <c r="G134" s="1"/>
      <c r="H134" s="1"/>
      <c r="I134" s="1"/>
      <c r="J134" s="1"/>
      <c r="K134" s="1"/>
      <c r="L134" s="1"/>
      <c r="M134" s="1"/>
      <c r="N134" s="1"/>
      <c r="O134" s="1"/>
      <c r="P134" s="1"/>
      <c r="Q134" s="1"/>
      <c r="R134" s="1"/>
      <c r="S134" s="1"/>
      <c r="T134" s="1"/>
      <c r="U134" s="1"/>
    </row>
    <row r="135" ht="15.75" customHeight="1">
      <c r="A135" s="1"/>
      <c r="B135" s="1"/>
      <c r="C135" s="1"/>
      <c r="D135" s="2"/>
      <c r="E135" s="1"/>
      <c r="F135" s="1"/>
      <c r="G135" s="1"/>
      <c r="H135" s="1"/>
      <c r="I135" s="1"/>
      <c r="J135" s="1"/>
      <c r="K135" s="1"/>
      <c r="L135" s="1"/>
      <c r="M135" s="1"/>
      <c r="N135" s="1"/>
      <c r="O135" s="1"/>
      <c r="P135" s="1"/>
      <c r="Q135" s="1"/>
      <c r="R135" s="1"/>
      <c r="S135" s="1"/>
      <c r="T135" s="1"/>
      <c r="U135" s="1"/>
    </row>
    <row r="136" ht="15.75" customHeight="1">
      <c r="A136" s="1"/>
      <c r="B136" s="1"/>
      <c r="C136" s="1"/>
      <c r="D136" s="2"/>
      <c r="E136" s="1"/>
      <c r="F136" s="1"/>
      <c r="G136" s="1"/>
      <c r="H136" s="1"/>
      <c r="I136" s="1"/>
      <c r="J136" s="1"/>
      <c r="K136" s="1"/>
      <c r="L136" s="1"/>
      <c r="M136" s="1"/>
      <c r="N136" s="1"/>
      <c r="O136" s="1"/>
      <c r="P136" s="1"/>
      <c r="Q136" s="1"/>
      <c r="R136" s="1"/>
      <c r="S136" s="1"/>
      <c r="T136" s="1"/>
      <c r="U136" s="1"/>
    </row>
    <row r="137" ht="15.75" customHeight="1">
      <c r="A137" s="1"/>
      <c r="B137" s="1"/>
      <c r="C137" s="1"/>
      <c r="D137" s="2"/>
      <c r="E137" s="1"/>
      <c r="F137" s="1"/>
      <c r="G137" s="1"/>
      <c r="H137" s="1"/>
      <c r="I137" s="1"/>
      <c r="J137" s="1"/>
      <c r="K137" s="1"/>
      <c r="L137" s="1"/>
      <c r="M137" s="1"/>
      <c r="N137" s="1"/>
      <c r="O137" s="1"/>
      <c r="P137" s="1"/>
      <c r="Q137" s="1"/>
      <c r="R137" s="1"/>
      <c r="S137" s="1"/>
      <c r="T137" s="1"/>
      <c r="U137" s="1"/>
    </row>
    <row r="138" ht="15.75" customHeight="1">
      <c r="A138" s="1"/>
      <c r="B138" s="1"/>
      <c r="C138" s="1"/>
      <c r="D138" s="2"/>
      <c r="E138" s="1"/>
      <c r="F138" s="1"/>
      <c r="G138" s="1"/>
      <c r="H138" s="1"/>
      <c r="I138" s="1"/>
      <c r="J138" s="1"/>
      <c r="K138" s="1"/>
      <c r="L138" s="1"/>
      <c r="M138" s="1"/>
      <c r="N138" s="1"/>
      <c r="O138" s="1"/>
      <c r="P138" s="1"/>
      <c r="Q138" s="1"/>
      <c r="R138" s="1"/>
      <c r="S138" s="1"/>
      <c r="T138" s="1"/>
      <c r="U138" s="1"/>
    </row>
    <row r="139" ht="15.75" customHeight="1">
      <c r="A139" s="1"/>
      <c r="B139" s="1"/>
      <c r="C139" s="1"/>
      <c r="D139" s="2"/>
      <c r="E139" s="1"/>
      <c r="F139" s="1"/>
      <c r="G139" s="1"/>
      <c r="H139" s="1"/>
      <c r="I139" s="1"/>
      <c r="J139" s="1"/>
      <c r="K139" s="1"/>
      <c r="L139" s="1"/>
      <c r="M139" s="1"/>
      <c r="N139" s="1"/>
      <c r="O139" s="1"/>
      <c r="P139" s="1"/>
      <c r="Q139" s="1"/>
      <c r="R139" s="1"/>
      <c r="S139" s="1"/>
      <c r="T139" s="1"/>
      <c r="U139" s="1"/>
    </row>
    <row r="140" ht="15.75" customHeight="1">
      <c r="A140" s="1"/>
      <c r="B140" s="1"/>
      <c r="C140" s="1"/>
      <c r="D140" s="2"/>
      <c r="E140" s="1"/>
      <c r="F140" s="1"/>
      <c r="G140" s="1"/>
      <c r="H140" s="1"/>
      <c r="I140" s="1"/>
      <c r="J140" s="1"/>
      <c r="K140" s="1"/>
      <c r="L140" s="1"/>
      <c r="M140" s="1"/>
      <c r="N140" s="1"/>
      <c r="O140" s="1"/>
      <c r="P140" s="1"/>
      <c r="Q140" s="1"/>
      <c r="R140" s="1"/>
      <c r="S140" s="1"/>
      <c r="T140" s="1"/>
      <c r="U140" s="1"/>
    </row>
    <row r="141" ht="15.75" customHeight="1">
      <c r="A141" s="1"/>
      <c r="B141" s="1"/>
      <c r="C141" s="1"/>
      <c r="D141" s="2"/>
      <c r="E141" s="1"/>
      <c r="F141" s="1"/>
      <c r="G141" s="1"/>
      <c r="H141" s="1"/>
      <c r="I141" s="1"/>
      <c r="J141" s="1"/>
      <c r="K141" s="1"/>
      <c r="L141" s="1"/>
      <c r="M141" s="1"/>
      <c r="N141" s="1"/>
      <c r="O141" s="1"/>
      <c r="P141" s="1"/>
      <c r="Q141" s="1"/>
      <c r="R141" s="1"/>
      <c r="S141" s="1"/>
      <c r="T141" s="1"/>
      <c r="U141" s="1"/>
    </row>
    <row r="142" ht="15.75" customHeight="1">
      <c r="A142" s="1"/>
      <c r="B142" s="1"/>
      <c r="C142" s="1"/>
      <c r="D142" s="2"/>
      <c r="E142" s="1"/>
      <c r="F142" s="1"/>
      <c r="G142" s="1"/>
      <c r="H142" s="1"/>
      <c r="I142" s="1"/>
      <c r="J142" s="1"/>
      <c r="K142" s="1"/>
      <c r="L142" s="1"/>
      <c r="M142" s="1"/>
      <c r="N142" s="1"/>
      <c r="O142" s="1"/>
      <c r="P142" s="1"/>
      <c r="Q142" s="1"/>
      <c r="R142" s="1"/>
      <c r="S142" s="1"/>
      <c r="T142" s="1"/>
      <c r="U142" s="1"/>
    </row>
    <row r="143" ht="15.75" customHeight="1">
      <c r="A143" s="1"/>
      <c r="B143" s="1"/>
      <c r="C143" s="1"/>
      <c r="D143" s="2"/>
      <c r="E143" s="1"/>
      <c r="F143" s="1"/>
      <c r="G143" s="1"/>
      <c r="H143" s="1"/>
      <c r="I143" s="1"/>
      <c r="J143" s="1"/>
      <c r="K143" s="1"/>
      <c r="L143" s="1"/>
      <c r="M143" s="1"/>
      <c r="N143" s="1"/>
      <c r="O143" s="1"/>
      <c r="P143" s="1"/>
      <c r="Q143" s="1"/>
      <c r="R143" s="1"/>
      <c r="S143" s="1"/>
      <c r="T143" s="1"/>
      <c r="U143" s="1"/>
    </row>
    <row r="144" ht="15.75" customHeight="1">
      <c r="A144" s="1"/>
      <c r="B144" s="1"/>
      <c r="C144" s="1"/>
      <c r="D144" s="2"/>
      <c r="E144" s="1"/>
      <c r="F144" s="1"/>
      <c r="G144" s="1"/>
      <c r="H144" s="1"/>
      <c r="I144" s="1"/>
      <c r="J144" s="1"/>
      <c r="K144" s="1"/>
      <c r="L144" s="1"/>
      <c r="M144" s="1"/>
      <c r="N144" s="1"/>
      <c r="O144" s="1"/>
      <c r="P144" s="1"/>
      <c r="Q144" s="1"/>
      <c r="R144" s="1"/>
      <c r="S144" s="1"/>
      <c r="T144" s="1"/>
      <c r="U144" s="1"/>
    </row>
    <row r="145" ht="15.75" customHeight="1">
      <c r="A145" s="1"/>
      <c r="B145" s="1"/>
      <c r="C145" s="1"/>
      <c r="D145" s="2"/>
      <c r="E145" s="1"/>
      <c r="F145" s="1"/>
      <c r="G145" s="1"/>
      <c r="H145" s="1"/>
      <c r="I145" s="1"/>
      <c r="J145" s="1"/>
      <c r="K145" s="1"/>
      <c r="L145" s="1"/>
      <c r="M145" s="1"/>
      <c r="N145" s="1"/>
      <c r="O145" s="1"/>
      <c r="P145" s="1"/>
      <c r="Q145" s="1"/>
      <c r="R145" s="1"/>
      <c r="S145" s="1"/>
      <c r="T145" s="1"/>
      <c r="U145" s="1"/>
    </row>
    <row r="146" ht="15.75" customHeight="1">
      <c r="A146" s="1"/>
      <c r="B146" s="1"/>
      <c r="C146" s="1"/>
      <c r="D146" s="2"/>
      <c r="E146" s="1"/>
      <c r="F146" s="1"/>
      <c r="G146" s="1"/>
      <c r="H146" s="1"/>
      <c r="I146" s="1"/>
      <c r="J146" s="1"/>
      <c r="K146" s="1"/>
      <c r="L146" s="1"/>
      <c r="M146" s="1"/>
      <c r="N146" s="1"/>
      <c r="O146" s="1"/>
      <c r="P146" s="1"/>
      <c r="Q146" s="1"/>
      <c r="R146" s="1"/>
      <c r="S146" s="1"/>
      <c r="T146" s="1"/>
      <c r="U146" s="1"/>
    </row>
    <row r="147" ht="15.75" customHeight="1">
      <c r="A147" s="1"/>
      <c r="B147" s="1"/>
      <c r="C147" s="1"/>
      <c r="D147" s="2"/>
      <c r="E147" s="1"/>
      <c r="F147" s="1"/>
      <c r="G147" s="1"/>
      <c r="H147" s="1"/>
      <c r="I147" s="1"/>
      <c r="J147" s="1"/>
      <c r="K147" s="1"/>
      <c r="L147" s="1"/>
      <c r="M147" s="1"/>
      <c r="N147" s="1"/>
      <c r="O147" s="1"/>
      <c r="P147" s="1"/>
      <c r="Q147" s="1"/>
      <c r="R147" s="1"/>
      <c r="S147" s="1"/>
      <c r="T147" s="1"/>
      <c r="U147" s="1"/>
    </row>
    <row r="148" ht="15.75" customHeight="1">
      <c r="A148" s="1"/>
      <c r="B148" s="1"/>
      <c r="C148" s="1"/>
      <c r="D148" s="2"/>
      <c r="E148" s="1"/>
      <c r="F148" s="1"/>
      <c r="G148" s="1"/>
      <c r="H148" s="1"/>
      <c r="I148" s="1"/>
      <c r="J148" s="1"/>
      <c r="K148" s="1"/>
      <c r="L148" s="1"/>
      <c r="M148" s="1"/>
      <c r="N148" s="1"/>
      <c r="O148" s="1"/>
      <c r="P148" s="1"/>
      <c r="Q148" s="1"/>
      <c r="R148" s="1"/>
      <c r="S148" s="1"/>
      <c r="T148" s="1"/>
      <c r="U148" s="1"/>
    </row>
    <row r="149" ht="15.75" customHeight="1">
      <c r="A149" s="1"/>
      <c r="B149" s="1"/>
      <c r="C149" s="1"/>
      <c r="D149" s="2"/>
      <c r="E149" s="1"/>
      <c r="F149" s="1"/>
      <c r="G149" s="1"/>
      <c r="H149" s="1"/>
      <c r="I149" s="1"/>
      <c r="J149" s="1"/>
      <c r="K149" s="1"/>
      <c r="L149" s="1"/>
      <c r="M149" s="1"/>
      <c r="N149" s="1"/>
      <c r="O149" s="1"/>
      <c r="P149" s="1"/>
      <c r="Q149" s="1"/>
      <c r="R149" s="1"/>
      <c r="S149" s="1"/>
      <c r="T149" s="1"/>
      <c r="U149" s="1"/>
    </row>
    <row r="150" ht="15.75" customHeight="1">
      <c r="A150" s="1"/>
      <c r="B150" s="1"/>
      <c r="C150" s="1"/>
      <c r="D150" s="2"/>
      <c r="E150" s="1"/>
      <c r="F150" s="1"/>
      <c r="G150" s="1"/>
      <c r="H150" s="1"/>
      <c r="I150" s="1"/>
      <c r="J150" s="1"/>
      <c r="K150" s="1"/>
      <c r="L150" s="1"/>
      <c r="M150" s="1"/>
      <c r="N150" s="1"/>
      <c r="O150" s="1"/>
      <c r="P150" s="1"/>
      <c r="Q150" s="1"/>
      <c r="R150" s="1"/>
      <c r="S150" s="1"/>
      <c r="T150" s="1"/>
      <c r="U150" s="1"/>
    </row>
    <row r="151" ht="15.75" customHeight="1">
      <c r="A151" s="1"/>
      <c r="B151" s="1"/>
      <c r="C151" s="1"/>
      <c r="D151" s="2"/>
      <c r="E151" s="1"/>
      <c r="F151" s="1"/>
      <c r="G151" s="1"/>
      <c r="H151" s="1"/>
      <c r="I151" s="1"/>
      <c r="J151" s="1"/>
      <c r="K151" s="1"/>
      <c r="L151" s="1"/>
      <c r="M151" s="1"/>
      <c r="N151" s="1"/>
      <c r="O151" s="1"/>
      <c r="P151" s="1"/>
      <c r="Q151" s="1"/>
      <c r="R151" s="1"/>
      <c r="S151" s="1"/>
      <c r="T151" s="1"/>
      <c r="U151" s="1"/>
    </row>
    <row r="152" ht="15.75" customHeight="1">
      <c r="A152" s="1"/>
      <c r="B152" s="1"/>
      <c r="C152" s="1"/>
      <c r="D152" s="2"/>
      <c r="E152" s="1"/>
      <c r="F152" s="1"/>
      <c r="G152" s="1"/>
      <c r="H152" s="1"/>
      <c r="I152" s="1"/>
      <c r="J152" s="1"/>
      <c r="K152" s="1"/>
      <c r="L152" s="1"/>
      <c r="M152" s="1"/>
      <c r="N152" s="1"/>
      <c r="O152" s="1"/>
      <c r="P152" s="1"/>
      <c r="Q152" s="1"/>
      <c r="R152" s="1"/>
      <c r="S152" s="1"/>
      <c r="T152" s="1"/>
      <c r="U152" s="1"/>
    </row>
    <row r="153" ht="15.75" customHeight="1">
      <c r="A153" s="1"/>
      <c r="B153" s="1"/>
      <c r="C153" s="1"/>
      <c r="D153" s="2"/>
      <c r="E153" s="1"/>
      <c r="F153" s="1"/>
      <c r="G153" s="1"/>
      <c r="H153" s="1"/>
      <c r="I153" s="1"/>
      <c r="J153" s="1"/>
      <c r="K153" s="1"/>
      <c r="L153" s="1"/>
      <c r="M153" s="1"/>
      <c r="N153" s="1"/>
      <c r="O153" s="1"/>
      <c r="P153" s="1"/>
      <c r="Q153" s="1"/>
      <c r="R153" s="1"/>
      <c r="S153" s="1"/>
      <c r="T153" s="1"/>
      <c r="U153" s="1"/>
    </row>
    <row r="154" ht="15.75" customHeight="1">
      <c r="A154" s="1"/>
      <c r="B154" s="1"/>
      <c r="C154" s="1"/>
      <c r="D154" s="2"/>
      <c r="E154" s="1"/>
      <c r="F154" s="1"/>
      <c r="G154" s="1"/>
      <c r="H154" s="1"/>
      <c r="I154" s="1"/>
      <c r="J154" s="1"/>
      <c r="K154" s="1"/>
      <c r="L154" s="1"/>
      <c r="M154" s="1"/>
      <c r="N154" s="1"/>
      <c r="O154" s="1"/>
      <c r="P154" s="1"/>
      <c r="Q154" s="1"/>
      <c r="R154" s="1"/>
      <c r="S154" s="1"/>
      <c r="T154" s="1"/>
      <c r="U154" s="1"/>
    </row>
    <row r="155" ht="15.75" customHeight="1">
      <c r="A155" s="1"/>
      <c r="B155" s="1"/>
      <c r="C155" s="1"/>
      <c r="D155" s="2"/>
      <c r="E155" s="1"/>
      <c r="F155" s="1"/>
      <c r="G155" s="1"/>
      <c r="H155" s="1"/>
      <c r="I155" s="1"/>
      <c r="J155" s="1"/>
      <c r="K155" s="1"/>
      <c r="L155" s="1"/>
      <c r="M155" s="1"/>
      <c r="N155" s="1"/>
      <c r="O155" s="1"/>
      <c r="P155" s="1"/>
      <c r="Q155" s="1"/>
      <c r="R155" s="1"/>
      <c r="S155" s="1"/>
      <c r="T155" s="1"/>
      <c r="U155" s="1"/>
    </row>
    <row r="156" ht="15.75" customHeight="1">
      <c r="A156" s="1"/>
      <c r="B156" s="1"/>
      <c r="C156" s="1"/>
      <c r="D156" s="2"/>
      <c r="E156" s="1"/>
      <c r="F156" s="1"/>
      <c r="G156" s="1"/>
      <c r="H156" s="1"/>
      <c r="I156" s="1"/>
      <c r="J156" s="1"/>
      <c r="K156" s="1"/>
      <c r="L156" s="1"/>
      <c r="M156" s="1"/>
      <c r="N156" s="1"/>
      <c r="O156" s="1"/>
      <c r="P156" s="1"/>
      <c r="Q156" s="1"/>
      <c r="R156" s="1"/>
      <c r="S156" s="1"/>
      <c r="T156" s="1"/>
      <c r="U156" s="1"/>
    </row>
    <row r="157" ht="15.75" customHeight="1">
      <c r="A157" s="1"/>
      <c r="B157" s="1"/>
      <c r="C157" s="1"/>
      <c r="D157" s="2"/>
      <c r="E157" s="1"/>
      <c r="F157" s="1"/>
      <c r="G157" s="1"/>
      <c r="H157" s="1"/>
      <c r="I157" s="1"/>
      <c r="J157" s="1"/>
      <c r="K157" s="1"/>
      <c r="L157" s="1"/>
      <c r="M157" s="1"/>
      <c r="N157" s="1"/>
      <c r="O157" s="1"/>
      <c r="P157" s="1"/>
      <c r="Q157" s="1"/>
      <c r="R157" s="1"/>
      <c r="S157" s="1"/>
      <c r="T157" s="1"/>
      <c r="U157" s="1"/>
    </row>
    <row r="158" ht="15.75" customHeight="1">
      <c r="A158" s="1"/>
      <c r="B158" s="1"/>
      <c r="C158" s="1"/>
      <c r="D158" s="2"/>
      <c r="E158" s="1"/>
      <c r="F158" s="1"/>
      <c r="G158" s="1"/>
      <c r="H158" s="1"/>
      <c r="I158" s="1"/>
      <c r="J158" s="1"/>
      <c r="K158" s="1"/>
      <c r="L158" s="1"/>
      <c r="M158" s="1"/>
      <c r="N158" s="1"/>
      <c r="O158" s="1"/>
      <c r="P158" s="1"/>
      <c r="Q158" s="1"/>
      <c r="R158" s="1"/>
      <c r="S158" s="1"/>
      <c r="T158" s="1"/>
      <c r="U158" s="1"/>
    </row>
    <row r="159" ht="15.75" customHeight="1">
      <c r="A159" s="1"/>
      <c r="B159" s="1"/>
      <c r="C159" s="1"/>
      <c r="D159" s="2"/>
      <c r="E159" s="1"/>
      <c r="F159" s="1"/>
      <c r="G159" s="1"/>
      <c r="H159" s="1"/>
      <c r="I159" s="1"/>
      <c r="J159" s="1"/>
      <c r="K159" s="1"/>
      <c r="L159" s="1"/>
      <c r="M159" s="1"/>
      <c r="N159" s="1"/>
      <c r="O159" s="1"/>
      <c r="P159" s="1"/>
      <c r="Q159" s="1"/>
      <c r="R159" s="1"/>
      <c r="S159" s="1"/>
      <c r="T159" s="1"/>
      <c r="U159" s="1"/>
    </row>
    <row r="160" ht="15.75" customHeight="1">
      <c r="A160" s="1"/>
      <c r="B160" s="1"/>
      <c r="C160" s="1"/>
      <c r="D160" s="2"/>
      <c r="E160" s="1"/>
      <c r="F160" s="1"/>
      <c r="G160" s="1"/>
      <c r="H160" s="1"/>
      <c r="I160" s="1"/>
      <c r="J160" s="1"/>
      <c r="K160" s="1"/>
      <c r="L160" s="1"/>
      <c r="M160" s="1"/>
      <c r="N160" s="1"/>
      <c r="O160" s="1"/>
      <c r="P160" s="1"/>
      <c r="Q160" s="1"/>
      <c r="R160" s="1"/>
      <c r="S160" s="1"/>
      <c r="T160" s="1"/>
      <c r="U160" s="1"/>
    </row>
    <row r="161" ht="15.75" customHeight="1">
      <c r="A161" s="1"/>
      <c r="B161" s="1"/>
      <c r="C161" s="1"/>
      <c r="D161" s="2"/>
      <c r="E161" s="1"/>
      <c r="F161" s="1"/>
      <c r="G161" s="1"/>
      <c r="H161" s="1"/>
      <c r="I161" s="1"/>
      <c r="J161" s="1"/>
      <c r="K161" s="1"/>
      <c r="L161" s="1"/>
      <c r="M161" s="1"/>
      <c r="N161" s="1"/>
      <c r="O161" s="1"/>
      <c r="P161" s="1"/>
      <c r="Q161" s="1"/>
      <c r="R161" s="1"/>
      <c r="S161" s="1"/>
      <c r="T161" s="1"/>
      <c r="U161" s="1"/>
    </row>
    <row r="162" ht="15.75" customHeight="1">
      <c r="A162" s="1"/>
      <c r="B162" s="1"/>
      <c r="C162" s="1"/>
      <c r="D162" s="2"/>
      <c r="E162" s="1"/>
      <c r="F162" s="1"/>
      <c r="G162" s="1"/>
      <c r="H162" s="1"/>
      <c r="I162" s="1"/>
      <c r="J162" s="1"/>
      <c r="K162" s="1"/>
      <c r="L162" s="1"/>
      <c r="M162" s="1"/>
      <c r="N162" s="1"/>
      <c r="O162" s="1"/>
      <c r="P162" s="1"/>
      <c r="Q162" s="1"/>
      <c r="R162" s="1"/>
      <c r="S162" s="1"/>
      <c r="T162" s="1"/>
      <c r="U162" s="1"/>
    </row>
    <row r="163" ht="15.75" customHeight="1">
      <c r="A163" s="1"/>
      <c r="B163" s="1"/>
      <c r="C163" s="1"/>
      <c r="D163" s="2"/>
      <c r="E163" s="1"/>
      <c r="F163" s="1"/>
      <c r="G163" s="1"/>
      <c r="H163" s="1"/>
      <c r="I163" s="1"/>
      <c r="J163" s="1"/>
      <c r="K163" s="1"/>
      <c r="L163" s="1"/>
      <c r="M163" s="1"/>
      <c r="N163" s="1"/>
      <c r="O163" s="1"/>
      <c r="P163" s="1"/>
      <c r="Q163" s="1"/>
      <c r="R163" s="1"/>
      <c r="S163" s="1"/>
      <c r="T163" s="1"/>
      <c r="U163" s="1"/>
    </row>
    <row r="164" ht="15.75" customHeight="1">
      <c r="A164" s="1"/>
      <c r="B164" s="1"/>
      <c r="C164" s="1"/>
      <c r="D164" s="2"/>
      <c r="E164" s="1"/>
      <c r="F164" s="1"/>
      <c r="G164" s="1"/>
      <c r="H164" s="1"/>
      <c r="I164" s="1"/>
      <c r="J164" s="1"/>
      <c r="K164" s="1"/>
      <c r="L164" s="1"/>
      <c r="M164" s="1"/>
      <c r="N164" s="1"/>
      <c r="O164" s="1"/>
      <c r="P164" s="1"/>
      <c r="Q164" s="1"/>
      <c r="R164" s="1"/>
      <c r="S164" s="1"/>
      <c r="T164" s="1"/>
      <c r="U164" s="1"/>
    </row>
    <row r="165" ht="15.75" customHeight="1">
      <c r="A165" s="1"/>
      <c r="B165" s="1"/>
      <c r="C165" s="1"/>
      <c r="D165" s="2"/>
      <c r="E165" s="1"/>
      <c r="F165" s="1"/>
      <c r="G165" s="1"/>
      <c r="H165" s="1"/>
      <c r="I165" s="1"/>
      <c r="J165" s="1"/>
      <c r="K165" s="1"/>
      <c r="L165" s="1"/>
      <c r="M165" s="1"/>
      <c r="N165" s="1"/>
      <c r="O165" s="1"/>
      <c r="P165" s="1"/>
      <c r="Q165" s="1"/>
      <c r="R165" s="1"/>
      <c r="S165" s="1"/>
      <c r="T165" s="1"/>
      <c r="U165" s="1"/>
    </row>
    <row r="166" ht="15.75" customHeight="1">
      <c r="A166" s="1"/>
      <c r="B166" s="1"/>
      <c r="C166" s="1"/>
      <c r="D166" s="2"/>
      <c r="E166" s="1"/>
      <c r="F166" s="1"/>
      <c r="G166" s="1"/>
      <c r="H166" s="1"/>
      <c r="I166" s="1"/>
      <c r="J166" s="1"/>
      <c r="K166" s="1"/>
      <c r="L166" s="1"/>
      <c r="M166" s="1"/>
      <c r="N166" s="1"/>
      <c r="O166" s="1"/>
      <c r="P166" s="1"/>
      <c r="Q166" s="1"/>
      <c r="R166" s="1"/>
      <c r="S166" s="1"/>
      <c r="T166" s="1"/>
      <c r="U166" s="1"/>
    </row>
    <row r="167" ht="15.75" customHeight="1">
      <c r="A167" s="1"/>
      <c r="B167" s="1"/>
      <c r="C167" s="1"/>
      <c r="D167" s="2"/>
      <c r="E167" s="1"/>
      <c r="F167" s="1"/>
      <c r="G167" s="1"/>
      <c r="H167" s="1"/>
      <c r="I167" s="1"/>
      <c r="J167" s="1"/>
      <c r="K167" s="1"/>
      <c r="L167" s="1"/>
      <c r="M167" s="1"/>
      <c r="N167" s="1"/>
      <c r="O167" s="1"/>
      <c r="P167" s="1"/>
      <c r="Q167" s="1"/>
      <c r="R167" s="1"/>
      <c r="S167" s="1"/>
      <c r="T167" s="1"/>
      <c r="U167" s="1"/>
    </row>
    <row r="168" ht="15.75" customHeight="1">
      <c r="A168" s="1"/>
      <c r="B168" s="1"/>
      <c r="C168" s="1"/>
      <c r="D168" s="2"/>
      <c r="E168" s="1"/>
      <c r="F168" s="1"/>
      <c r="G168" s="1"/>
      <c r="H168" s="1"/>
      <c r="I168" s="1"/>
      <c r="J168" s="1"/>
      <c r="K168" s="1"/>
      <c r="L168" s="1"/>
      <c r="M168" s="1"/>
      <c r="N168" s="1"/>
      <c r="O168" s="1"/>
      <c r="P168" s="1"/>
      <c r="Q168" s="1"/>
      <c r="R168" s="1"/>
      <c r="S168" s="1"/>
      <c r="T168" s="1"/>
      <c r="U168" s="1"/>
    </row>
    <row r="169" ht="15.75" customHeight="1">
      <c r="A169" s="1"/>
      <c r="B169" s="1"/>
      <c r="C169" s="1"/>
      <c r="D169" s="2"/>
      <c r="E169" s="1"/>
      <c r="F169" s="1"/>
      <c r="G169" s="1"/>
      <c r="H169" s="1"/>
      <c r="I169" s="1"/>
      <c r="J169" s="1"/>
      <c r="K169" s="1"/>
      <c r="L169" s="1"/>
      <c r="M169" s="1"/>
      <c r="N169" s="1"/>
      <c r="O169" s="1"/>
      <c r="P169" s="1"/>
      <c r="Q169" s="1"/>
      <c r="R169" s="1"/>
      <c r="S169" s="1"/>
      <c r="T169" s="1"/>
      <c r="U169" s="1"/>
    </row>
    <row r="170" ht="15.75" customHeight="1">
      <c r="A170" s="1"/>
      <c r="B170" s="1"/>
      <c r="C170" s="1"/>
      <c r="D170" s="2"/>
      <c r="E170" s="1"/>
      <c r="F170" s="1"/>
      <c r="G170" s="1"/>
      <c r="H170" s="1"/>
      <c r="I170" s="1"/>
      <c r="J170" s="1"/>
      <c r="K170" s="1"/>
      <c r="L170" s="1"/>
      <c r="M170" s="1"/>
      <c r="N170" s="1"/>
      <c r="O170" s="1"/>
      <c r="P170" s="1"/>
      <c r="Q170" s="1"/>
      <c r="R170" s="1"/>
      <c r="S170" s="1"/>
      <c r="T170" s="1"/>
      <c r="U170" s="1"/>
    </row>
    <row r="171" ht="15.75" customHeight="1">
      <c r="A171" s="1"/>
      <c r="B171" s="1"/>
      <c r="C171" s="1"/>
      <c r="D171" s="2"/>
      <c r="E171" s="1"/>
      <c r="F171" s="1"/>
      <c r="G171" s="1"/>
      <c r="H171" s="1"/>
      <c r="I171" s="1"/>
      <c r="J171" s="1"/>
      <c r="K171" s="1"/>
      <c r="L171" s="1"/>
      <c r="M171" s="1"/>
      <c r="N171" s="1"/>
      <c r="O171" s="1"/>
      <c r="P171" s="1"/>
      <c r="Q171" s="1"/>
      <c r="R171" s="1"/>
      <c r="S171" s="1"/>
      <c r="T171" s="1"/>
      <c r="U171" s="1"/>
    </row>
    <row r="172" ht="15.75" customHeight="1">
      <c r="A172" s="1"/>
      <c r="B172" s="1"/>
      <c r="C172" s="1"/>
      <c r="D172" s="2"/>
      <c r="E172" s="1"/>
      <c r="F172" s="1"/>
      <c r="G172" s="1"/>
      <c r="H172" s="1"/>
      <c r="I172" s="1"/>
      <c r="J172" s="1"/>
      <c r="K172" s="1"/>
      <c r="L172" s="1"/>
      <c r="M172" s="1"/>
      <c r="N172" s="1"/>
      <c r="O172" s="1"/>
      <c r="P172" s="1"/>
      <c r="Q172" s="1"/>
      <c r="R172" s="1"/>
      <c r="S172" s="1"/>
      <c r="T172" s="1"/>
      <c r="U172" s="1"/>
    </row>
    <row r="173" ht="15.75" customHeight="1">
      <c r="A173" s="1"/>
      <c r="B173" s="1"/>
      <c r="C173" s="1"/>
      <c r="D173" s="2"/>
      <c r="E173" s="1"/>
      <c r="F173" s="1"/>
      <c r="G173" s="1"/>
      <c r="H173" s="1"/>
      <c r="I173" s="1"/>
      <c r="J173" s="1"/>
      <c r="K173" s="1"/>
      <c r="L173" s="1"/>
      <c r="M173" s="1"/>
      <c r="N173" s="1"/>
      <c r="O173" s="1"/>
      <c r="P173" s="1"/>
      <c r="Q173" s="1"/>
      <c r="R173" s="1"/>
      <c r="S173" s="1"/>
      <c r="T173" s="1"/>
      <c r="U173" s="1"/>
    </row>
    <row r="174" ht="15.75" customHeight="1">
      <c r="A174" s="1"/>
      <c r="B174" s="1"/>
      <c r="C174" s="1"/>
      <c r="D174" s="2"/>
      <c r="E174" s="1"/>
      <c r="F174" s="1"/>
      <c r="G174" s="1"/>
      <c r="H174" s="1"/>
      <c r="I174" s="1"/>
      <c r="J174" s="1"/>
      <c r="K174" s="1"/>
      <c r="L174" s="1"/>
      <c r="M174" s="1"/>
      <c r="N174" s="1"/>
      <c r="O174" s="1"/>
      <c r="P174" s="1"/>
      <c r="Q174" s="1"/>
      <c r="R174" s="1"/>
      <c r="S174" s="1"/>
      <c r="T174" s="1"/>
      <c r="U174" s="1"/>
    </row>
    <row r="175" ht="15.75" customHeight="1">
      <c r="A175" s="1"/>
      <c r="B175" s="1"/>
      <c r="C175" s="1"/>
      <c r="D175" s="2"/>
      <c r="E175" s="1"/>
      <c r="F175" s="1"/>
      <c r="G175" s="1"/>
      <c r="H175" s="1"/>
      <c r="I175" s="1"/>
      <c r="J175" s="1"/>
      <c r="K175" s="1"/>
      <c r="L175" s="1"/>
      <c r="M175" s="1"/>
      <c r="N175" s="1"/>
      <c r="O175" s="1"/>
      <c r="P175" s="1"/>
      <c r="Q175" s="1"/>
      <c r="R175" s="1"/>
      <c r="S175" s="1"/>
      <c r="T175" s="1"/>
      <c r="U175" s="1"/>
    </row>
    <row r="176" ht="15.75" customHeight="1">
      <c r="A176" s="1"/>
      <c r="B176" s="1"/>
      <c r="C176" s="1"/>
      <c r="D176" s="2"/>
      <c r="E176" s="1"/>
      <c r="F176" s="1"/>
      <c r="G176" s="1"/>
      <c r="H176" s="1"/>
      <c r="I176" s="1"/>
      <c r="J176" s="1"/>
      <c r="K176" s="1"/>
      <c r="L176" s="1"/>
      <c r="M176" s="1"/>
      <c r="N176" s="1"/>
      <c r="O176" s="1"/>
      <c r="P176" s="1"/>
      <c r="Q176" s="1"/>
      <c r="R176" s="1"/>
      <c r="S176" s="1"/>
      <c r="T176" s="1"/>
      <c r="U176" s="1"/>
    </row>
    <row r="177" ht="15.75" customHeight="1">
      <c r="A177" s="1"/>
      <c r="B177" s="1"/>
      <c r="C177" s="1"/>
      <c r="D177" s="2"/>
      <c r="E177" s="1"/>
      <c r="F177" s="1"/>
      <c r="G177" s="1"/>
      <c r="H177" s="1"/>
      <c r="I177" s="1"/>
      <c r="J177" s="1"/>
      <c r="K177" s="1"/>
      <c r="L177" s="1"/>
      <c r="M177" s="1"/>
      <c r="N177" s="1"/>
      <c r="O177" s="1"/>
      <c r="P177" s="1"/>
      <c r="Q177" s="1"/>
      <c r="R177" s="1"/>
      <c r="S177" s="1"/>
      <c r="T177" s="1"/>
      <c r="U177" s="1"/>
    </row>
    <row r="178" ht="15.75" customHeight="1">
      <c r="A178" s="1"/>
      <c r="B178" s="1"/>
      <c r="C178" s="1"/>
      <c r="D178" s="2"/>
      <c r="E178" s="1"/>
      <c r="F178" s="1"/>
      <c r="G178" s="1"/>
      <c r="H178" s="1"/>
      <c r="I178" s="1"/>
      <c r="J178" s="1"/>
      <c r="K178" s="1"/>
      <c r="L178" s="1"/>
      <c r="M178" s="1"/>
      <c r="N178" s="1"/>
      <c r="O178" s="1"/>
      <c r="P178" s="1"/>
      <c r="Q178" s="1"/>
      <c r="R178" s="1"/>
      <c r="S178" s="1"/>
      <c r="T178" s="1"/>
      <c r="U178" s="1"/>
    </row>
    <row r="179" ht="15.75" customHeight="1">
      <c r="A179" s="1"/>
      <c r="B179" s="1"/>
      <c r="C179" s="1"/>
      <c r="D179" s="2"/>
      <c r="E179" s="1"/>
      <c r="F179" s="1"/>
      <c r="G179" s="1"/>
      <c r="H179" s="1"/>
      <c r="I179" s="1"/>
      <c r="J179" s="1"/>
      <c r="K179" s="1"/>
      <c r="L179" s="1"/>
      <c r="M179" s="1"/>
      <c r="N179" s="1"/>
      <c r="O179" s="1"/>
      <c r="P179" s="1"/>
      <c r="Q179" s="1"/>
      <c r="R179" s="1"/>
      <c r="S179" s="1"/>
      <c r="T179" s="1"/>
      <c r="U179" s="1"/>
    </row>
    <row r="180" ht="15.75" customHeight="1">
      <c r="A180" s="1"/>
      <c r="B180" s="1"/>
      <c r="C180" s="1"/>
      <c r="D180" s="2"/>
      <c r="E180" s="1"/>
      <c r="F180" s="1"/>
      <c r="G180" s="1"/>
      <c r="H180" s="1"/>
      <c r="I180" s="1"/>
      <c r="J180" s="1"/>
      <c r="K180" s="1"/>
      <c r="L180" s="1"/>
      <c r="M180" s="1"/>
      <c r="N180" s="1"/>
      <c r="O180" s="1"/>
      <c r="P180" s="1"/>
      <c r="Q180" s="1"/>
      <c r="R180" s="1"/>
      <c r="S180" s="1"/>
      <c r="T180" s="1"/>
      <c r="U180" s="1"/>
    </row>
    <row r="181" ht="15.75" customHeight="1">
      <c r="A181" s="1"/>
      <c r="B181" s="1"/>
      <c r="C181" s="1"/>
      <c r="D181" s="2"/>
      <c r="E181" s="1"/>
      <c r="F181" s="1"/>
      <c r="G181" s="1"/>
      <c r="H181" s="1"/>
      <c r="I181" s="1"/>
      <c r="J181" s="1"/>
      <c r="K181" s="1"/>
      <c r="L181" s="1"/>
      <c r="M181" s="1"/>
      <c r="N181" s="1"/>
      <c r="O181" s="1"/>
      <c r="P181" s="1"/>
      <c r="Q181" s="1"/>
      <c r="R181" s="1"/>
      <c r="S181" s="1"/>
      <c r="T181" s="1"/>
      <c r="U181" s="1"/>
    </row>
    <row r="182" ht="15.75" customHeight="1">
      <c r="A182" s="1"/>
      <c r="B182" s="1"/>
      <c r="C182" s="1"/>
      <c r="D182" s="2"/>
      <c r="E182" s="1"/>
      <c r="F182" s="1"/>
      <c r="G182" s="1"/>
      <c r="H182" s="1"/>
      <c r="I182" s="1"/>
      <c r="J182" s="1"/>
      <c r="K182" s="1"/>
      <c r="L182" s="1"/>
      <c r="M182" s="1"/>
      <c r="N182" s="1"/>
      <c r="O182" s="1"/>
      <c r="P182" s="1"/>
      <c r="Q182" s="1"/>
      <c r="R182" s="1"/>
      <c r="S182" s="1"/>
      <c r="T182" s="1"/>
      <c r="U182" s="1"/>
    </row>
    <row r="183" ht="15.75" customHeight="1">
      <c r="A183" s="1"/>
      <c r="B183" s="1"/>
      <c r="C183" s="1"/>
      <c r="D183" s="2"/>
      <c r="E183" s="1"/>
      <c r="F183" s="1"/>
      <c r="G183" s="1"/>
      <c r="H183" s="1"/>
      <c r="I183" s="1"/>
      <c r="J183" s="1"/>
      <c r="K183" s="1"/>
      <c r="L183" s="1"/>
      <c r="M183" s="1"/>
      <c r="N183" s="1"/>
      <c r="O183" s="1"/>
      <c r="P183" s="1"/>
      <c r="Q183" s="1"/>
      <c r="R183" s="1"/>
      <c r="S183" s="1"/>
      <c r="T183" s="1"/>
      <c r="U183" s="1"/>
    </row>
    <row r="184" ht="15.75" customHeight="1">
      <c r="A184" s="1"/>
      <c r="B184" s="1"/>
      <c r="C184" s="1"/>
      <c r="D184" s="2"/>
      <c r="E184" s="1"/>
      <c r="F184" s="1"/>
      <c r="G184" s="1"/>
      <c r="H184" s="1"/>
      <c r="I184" s="1"/>
      <c r="J184" s="1"/>
      <c r="K184" s="1"/>
      <c r="L184" s="1"/>
      <c r="M184" s="1"/>
      <c r="N184" s="1"/>
      <c r="O184" s="1"/>
      <c r="P184" s="1"/>
      <c r="Q184" s="1"/>
      <c r="R184" s="1"/>
      <c r="S184" s="1"/>
      <c r="T184" s="1"/>
      <c r="U184" s="1"/>
    </row>
    <row r="185" ht="15.75" customHeight="1">
      <c r="A185" s="1"/>
      <c r="B185" s="1"/>
      <c r="C185" s="1"/>
      <c r="D185" s="2"/>
      <c r="E185" s="1"/>
      <c r="F185" s="1"/>
      <c r="G185" s="1"/>
      <c r="H185" s="1"/>
      <c r="I185" s="1"/>
      <c r="J185" s="1"/>
      <c r="K185" s="1"/>
      <c r="L185" s="1"/>
      <c r="M185" s="1"/>
      <c r="N185" s="1"/>
      <c r="O185" s="1"/>
      <c r="P185" s="1"/>
      <c r="Q185" s="1"/>
      <c r="R185" s="1"/>
      <c r="S185" s="1"/>
      <c r="T185" s="1"/>
      <c r="U185" s="1"/>
    </row>
    <row r="186" ht="15.75" customHeight="1">
      <c r="A186" s="1"/>
      <c r="B186" s="1"/>
      <c r="C186" s="1"/>
      <c r="D186" s="2"/>
      <c r="E186" s="1"/>
      <c r="F186" s="1"/>
      <c r="G186" s="1"/>
      <c r="H186" s="1"/>
      <c r="I186" s="1"/>
      <c r="J186" s="1"/>
      <c r="K186" s="1"/>
      <c r="L186" s="1"/>
      <c r="M186" s="1"/>
      <c r="N186" s="1"/>
      <c r="O186" s="1"/>
      <c r="P186" s="1"/>
      <c r="Q186" s="1"/>
      <c r="R186" s="1"/>
      <c r="S186" s="1"/>
      <c r="T186" s="1"/>
      <c r="U186" s="1"/>
    </row>
    <row r="187" ht="15.75" customHeight="1">
      <c r="A187" s="1"/>
      <c r="B187" s="1"/>
      <c r="C187" s="1"/>
      <c r="D187" s="2"/>
      <c r="E187" s="1"/>
      <c r="F187" s="1"/>
      <c r="G187" s="1"/>
      <c r="H187" s="1"/>
      <c r="I187" s="1"/>
      <c r="J187" s="1"/>
      <c r="K187" s="1"/>
      <c r="L187" s="1"/>
      <c r="M187" s="1"/>
      <c r="N187" s="1"/>
      <c r="O187" s="1"/>
      <c r="P187" s="1"/>
      <c r="Q187" s="1"/>
      <c r="R187" s="1"/>
      <c r="S187" s="1"/>
      <c r="T187" s="1"/>
      <c r="U187" s="1"/>
    </row>
    <row r="188" ht="15.75" customHeight="1">
      <c r="A188" s="1"/>
      <c r="B188" s="1"/>
      <c r="C188" s="1"/>
      <c r="D188" s="2"/>
      <c r="E188" s="1"/>
      <c r="F188" s="1"/>
      <c r="G188" s="1"/>
      <c r="H188" s="1"/>
      <c r="I188" s="1"/>
      <c r="J188" s="1"/>
      <c r="K188" s="1"/>
      <c r="L188" s="1"/>
      <c r="M188" s="1"/>
      <c r="N188" s="1"/>
      <c r="O188" s="1"/>
      <c r="P188" s="1"/>
      <c r="Q188" s="1"/>
      <c r="R188" s="1"/>
      <c r="S188" s="1"/>
      <c r="T188" s="1"/>
      <c r="U188" s="1"/>
    </row>
    <row r="189" ht="15.75" customHeight="1">
      <c r="A189" s="1"/>
      <c r="B189" s="1"/>
      <c r="C189" s="1"/>
      <c r="D189" s="2"/>
      <c r="E189" s="1"/>
      <c r="F189" s="1"/>
      <c r="G189" s="1"/>
      <c r="H189" s="1"/>
      <c r="I189" s="1"/>
      <c r="J189" s="1"/>
      <c r="K189" s="1"/>
      <c r="L189" s="1"/>
      <c r="M189" s="1"/>
      <c r="N189" s="1"/>
      <c r="O189" s="1"/>
      <c r="P189" s="1"/>
      <c r="Q189" s="1"/>
      <c r="R189" s="1"/>
      <c r="S189" s="1"/>
      <c r="T189" s="1"/>
      <c r="U189" s="1"/>
    </row>
    <row r="190" ht="15.75" customHeight="1">
      <c r="A190" s="1"/>
      <c r="B190" s="1"/>
      <c r="C190" s="1"/>
      <c r="D190" s="2"/>
      <c r="E190" s="1"/>
      <c r="F190" s="1"/>
      <c r="G190" s="1"/>
      <c r="H190" s="1"/>
      <c r="I190" s="1"/>
      <c r="J190" s="1"/>
      <c r="K190" s="1"/>
      <c r="L190" s="1"/>
      <c r="M190" s="1"/>
      <c r="N190" s="1"/>
      <c r="O190" s="1"/>
      <c r="P190" s="1"/>
      <c r="Q190" s="1"/>
      <c r="R190" s="1"/>
      <c r="S190" s="1"/>
      <c r="T190" s="1"/>
      <c r="U190" s="1"/>
    </row>
    <row r="191" ht="15.75" customHeight="1">
      <c r="A191" s="1"/>
      <c r="B191" s="1"/>
      <c r="C191" s="1"/>
      <c r="D191" s="2"/>
      <c r="E191" s="1"/>
      <c r="F191" s="1"/>
      <c r="G191" s="1"/>
      <c r="H191" s="1"/>
      <c r="I191" s="1"/>
      <c r="J191" s="1"/>
      <c r="K191" s="1"/>
      <c r="L191" s="1"/>
      <c r="M191" s="1"/>
      <c r="N191" s="1"/>
      <c r="O191" s="1"/>
      <c r="P191" s="1"/>
      <c r="Q191" s="1"/>
      <c r="R191" s="1"/>
      <c r="S191" s="1"/>
      <c r="T191" s="1"/>
      <c r="U191" s="1"/>
    </row>
    <row r="192" ht="15.75" customHeight="1">
      <c r="A192" s="1"/>
      <c r="B192" s="1"/>
      <c r="C192" s="1"/>
      <c r="D192" s="2"/>
      <c r="E192" s="1"/>
      <c r="F192" s="1"/>
      <c r="G192" s="1"/>
      <c r="H192" s="1"/>
      <c r="I192" s="1"/>
      <c r="J192" s="1"/>
      <c r="K192" s="1"/>
      <c r="L192" s="1"/>
      <c r="M192" s="1"/>
      <c r="N192" s="1"/>
      <c r="O192" s="1"/>
      <c r="P192" s="1"/>
      <c r="Q192" s="1"/>
      <c r="R192" s="1"/>
      <c r="S192" s="1"/>
      <c r="T192" s="1"/>
      <c r="U192" s="1"/>
    </row>
    <row r="193" ht="15.75" customHeight="1">
      <c r="A193" s="1"/>
      <c r="B193" s="1"/>
      <c r="C193" s="1"/>
      <c r="D193" s="2"/>
      <c r="E193" s="1"/>
      <c r="F193" s="1"/>
      <c r="G193" s="1"/>
      <c r="H193" s="1"/>
      <c r="I193" s="1"/>
      <c r="J193" s="1"/>
      <c r="K193" s="1"/>
      <c r="L193" s="1"/>
      <c r="M193" s="1"/>
      <c r="N193" s="1"/>
      <c r="O193" s="1"/>
      <c r="P193" s="1"/>
      <c r="Q193" s="1"/>
      <c r="R193" s="1"/>
      <c r="S193" s="1"/>
      <c r="T193" s="1"/>
      <c r="U193" s="1"/>
    </row>
    <row r="194" ht="15.75" customHeight="1">
      <c r="A194" s="1"/>
      <c r="B194" s="1"/>
      <c r="C194" s="1"/>
      <c r="D194" s="2"/>
      <c r="E194" s="1"/>
      <c r="F194" s="1"/>
      <c r="G194" s="1"/>
      <c r="H194" s="1"/>
      <c r="I194" s="1"/>
      <c r="J194" s="1"/>
      <c r="K194" s="1"/>
      <c r="L194" s="1"/>
      <c r="M194" s="1"/>
      <c r="N194" s="1"/>
      <c r="O194" s="1"/>
      <c r="P194" s="1"/>
      <c r="Q194" s="1"/>
      <c r="R194" s="1"/>
      <c r="S194" s="1"/>
      <c r="T194" s="1"/>
      <c r="U194" s="1"/>
    </row>
    <row r="195" ht="15.75" customHeight="1">
      <c r="A195" s="1"/>
      <c r="B195" s="1"/>
      <c r="C195" s="1"/>
      <c r="D195" s="2"/>
      <c r="E195" s="1"/>
      <c r="F195" s="1"/>
      <c r="G195" s="1"/>
      <c r="H195" s="1"/>
      <c r="I195" s="1"/>
      <c r="J195" s="1"/>
      <c r="K195" s="1"/>
      <c r="L195" s="1"/>
      <c r="M195" s="1"/>
      <c r="N195" s="1"/>
      <c r="O195" s="1"/>
      <c r="P195" s="1"/>
      <c r="Q195" s="1"/>
      <c r="R195" s="1"/>
      <c r="S195" s="1"/>
      <c r="T195" s="1"/>
      <c r="U195" s="1"/>
    </row>
    <row r="196" ht="15.75" customHeight="1">
      <c r="A196" s="1"/>
      <c r="B196" s="1"/>
      <c r="C196" s="1"/>
      <c r="D196" s="2"/>
      <c r="E196" s="1"/>
      <c r="F196" s="1"/>
      <c r="G196" s="1"/>
      <c r="H196" s="1"/>
      <c r="I196" s="1"/>
      <c r="J196" s="1"/>
      <c r="K196" s="1"/>
      <c r="L196" s="1"/>
      <c r="M196" s="1"/>
      <c r="N196" s="1"/>
      <c r="O196" s="1"/>
      <c r="P196" s="1"/>
      <c r="Q196" s="1"/>
      <c r="R196" s="1"/>
      <c r="S196" s="1"/>
      <c r="T196" s="1"/>
      <c r="U196" s="1"/>
    </row>
    <row r="197" ht="15.75" customHeight="1">
      <c r="A197" s="1"/>
      <c r="B197" s="1"/>
      <c r="C197" s="1"/>
      <c r="D197" s="2"/>
      <c r="E197" s="1"/>
      <c r="F197" s="1"/>
      <c r="G197" s="1"/>
      <c r="H197" s="1"/>
      <c r="I197" s="1"/>
      <c r="J197" s="1"/>
      <c r="K197" s="1"/>
      <c r="L197" s="1"/>
      <c r="M197" s="1"/>
      <c r="N197" s="1"/>
      <c r="O197" s="1"/>
      <c r="P197" s="1"/>
      <c r="Q197" s="1"/>
      <c r="R197" s="1"/>
      <c r="S197" s="1"/>
      <c r="T197" s="1"/>
      <c r="U197" s="1"/>
    </row>
    <row r="198" ht="15.75" customHeight="1">
      <c r="A198" s="1"/>
      <c r="B198" s="1"/>
      <c r="C198" s="1"/>
      <c r="D198" s="2"/>
      <c r="E198" s="1"/>
      <c r="F198" s="1"/>
      <c r="G198" s="1"/>
      <c r="H198" s="1"/>
      <c r="I198" s="1"/>
      <c r="J198" s="1"/>
      <c r="K198" s="1"/>
      <c r="L198" s="1"/>
      <c r="M198" s="1"/>
      <c r="N198" s="1"/>
      <c r="O198" s="1"/>
      <c r="P198" s="1"/>
      <c r="Q198" s="1"/>
      <c r="R198" s="1"/>
      <c r="S198" s="1"/>
      <c r="T198" s="1"/>
      <c r="U198" s="1"/>
    </row>
    <row r="199" ht="15.75" customHeight="1">
      <c r="A199" s="1"/>
      <c r="B199" s="1"/>
      <c r="C199" s="1"/>
      <c r="D199" s="2"/>
      <c r="E199" s="1"/>
      <c r="F199" s="1"/>
      <c r="G199" s="1"/>
      <c r="H199" s="1"/>
      <c r="I199" s="1"/>
      <c r="J199" s="1"/>
      <c r="K199" s="1"/>
      <c r="L199" s="1"/>
      <c r="M199" s="1"/>
      <c r="N199" s="1"/>
      <c r="O199" s="1"/>
      <c r="P199" s="1"/>
      <c r="Q199" s="1"/>
      <c r="R199" s="1"/>
      <c r="S199" s="1"/>
      <c r="T199" s="1"/>
      <c r="U199" s="1"/>
    </row>
    <row r="200" ht="15.75" customHeight="1">
      <c r="A200" s="1"/>
      <c r="B200" s="1"/>
      <c r="C200" s="1"/>
      <c r="D200" s="2"/>
      <c r="E200" s="1"/>
      <c r="F200" s="1"/>
      <c r="G200" s="1"/>
      <c r="H200" s="1"/>
      <c r="I200" s="1"/>
      <c r="J200" s="1"/>
      <c r="K200" s="1"/>
      <c r="L200" s="1"/>
      <c r="M200" s="1"/>
      <c r="N200" s="1"/>
      <c r="O200" s="1"/>
      <c r="P200" s="1"/>
      <c r="Q200" s="1"/>
      <c r="R200" s="1"/>
      <c r="S200" s="1"/>
      <c r="T200" s="1"/>
      <c r="U200" s="1"/>
    </row>
    <row r="201" ht="15.75" customHeight="1">
      <c r="A201" s="1"/>
      <c r="B201" s="1"/>
      <c r="C201" s="1"/>
      <c r="D201" s="2"/>
      <c r="E201" s="1"/>
      <c r="F201" s="1"/>
      <c r="G201" s="1"/>
      <c r="H201" s="1"/>
      <c r="I201" s="1"/>
      <c r="J201" s="1"/>
      <c r="K201" s="1"/>
      <c r="L201" s="1"/>
      <c r="M201" s="1"/>
      <c r="N201" s="1"/>
      <c r="O201" s="1"/>
      <c r="P201" s="1"/>
      <c r="Q201" s="1"/>
      <c r="R201" s="1"/>
      <c r="S201" s="1"/>
      <c r="T201" s="1"/>
      <c r="U201" s="1"/>
    </row>
    <row r="202" ht="15.75" customHeight="1">
      <c r="A202" s="1"/>
      <c r="B202" s="1"/>
      <c r="C202" s="1"/>
      <c r="D202" s="2"/>
      <c r="E202" s="1"/>
      <c r="F202" s="1"/>
      <c r="G202" s="1"/>
      <c r="H202" s="1"/>
      <c r="I202" s="1"/>
      <c r="J202" s="1"/>
      <c r="K202" s="1"/>
      <c r="L202" s="1"/>
      <c r="M202" s="1"/>
      <c r="N202" s="1"/>
      <c r="O202" s="1"/>
      <c r="P202" s="1"/>
      <c r="Q202" s="1"/>
      <c r="R202" s="1"/>
      <c r="S202" s="1"/>
      <c r="T202" s="1"/>
      <c r="U202" s="1"/>
    </row>
    <row r="203" ht="15.75" customHeight="1">
      <c r="A203" s="1"/>
      <c r="B203" s="1"/>
      <c r="C203" s="1"/>
      <c r="D203" s="2"/>
      <c r="E203" s="1"/>
      <c r="F203" s="1"/>
      <c r="G203" s="1"/>
      <c r="H203" s="1"/>
      <c r="I203" s="1"/>
      <c r="J203" s="1"/>
      <c r="K203" s="1"/>
      <c r="L203" s="1"/>
      <c r="M203" s="1"/>
      <c r="N203" s="1"/>
      <c r="O203" s="1"/>
      <c r="P203" s="1"/>
      <c r="Q203" s="1"/>
      <c r="R203" s="1"/>
      <c r="S203" s="1"/>
      <c r="T203" s="1"/>
      <c r="U203" s="1"/>
    </row>
    <row r="204" ht="15.75" customHeight="1">
      <c r="A204" s="1"/>
      <c r="B204" s="1"/>
      <c r="C204" s="1"/>
      <c r="D204" s="2"/>
      <c r="E204" s="1"/>
      <c r="F204" s="1"/>
      <c r="G204" s="1"/>
      <c r="H204" s="1"/>
      <c r="I204" s="1"/>
      <c r="J204" s="1"/>
      <c r="K204" s="1"/>
      <c r="L204" s="1"/>
      <c r="M204" s="1"/>
      <c r="N204" s="1"/>
      <c r="O204" s="1"/>
      <c r="P204" s="1"/>
      <c r="Q204" s="1"/>
      <c r="R204" s="1"/>
      <c r="S204" s="1"/>
      <c r="T204" s="1"/>
      <c r="U204" s="1"/>
    </row>
    <row r="205" ht="15.75" customHeight="1">
      <c r="A205" s="1"/>
      <c r="B205" s="1"/>
      <c r="C205" s="1"/>
      <c r="D205" s="2"/>
      <c r="E205" s="1"/>
      <c r="F205" s="1"/>
      <c r="G205" s="1"/>
      <c r="H205" s="1"/>
      <c r="I205" s="1"/>
      <c r="J205" s="1"/>
      <c r="K205" s="1"/>
      <c r="L205" s="1"/>
      <c r="M205" s="1"/>
      <c r="N205" s="1"/>
      <c r="O205" s="1"/>
      <c r="P205" s="1"/>
      <c r="Q205" s="1"/>
      <c r="R205" s="1"/>
      <c r="S205" s="1"/>
      <c r="T205" s="1"/>
      <c r="U205" s="1"/>
    </row>
    <row r="206" ht="15.75" customHeight="1">
      <c r="A206" s="1"/>
      <c r="B206" s="1"/>
      <c r="C206" s="1"/>
      <c r="D206" s="2"/>
      <c r="E206" s="1"/>
      <c r="F206" s="1"/>
      <c r="G206" s="1"/>
      <c r="H206" s="1"/>
      <c r="I206" s="1"/>
      <c r="J206" s="1"/>
      <c r="K206" s="1"/>
      <c r="L206" s="1"/>
      <c r="M206" s="1"/>
      <c r="N206" s="1"/>
      <c r="O206" s="1"/>
      <c r="P206" s="1"/>
      <c r="Q206" s="1"/>
      <c r="R206" s="1"/>
      <c r="S206" s="1"/>
      <c r="T206" s="1"/>
      <c r="U206" s="1"/>
    </row>
    <row r="207" ht="15.75" customHeight="1">
      <c r="A207" s="1"/>
      <c r="B207" s="1"/>
      <c r="C207" s="1"/>
      <c r="D207" s="2"/>
      <c r="E207" s="1"/>
      <c r="F207" s="1"/>
      <c r="G207" s="1"/>
      <c r="H207" s="1"/>
      <c r="I207" s="1"/>
      <c r="J207" s="1"/>
      <c r="K207" s="1"/>
      <c r="L207" s="1"/>
      <c r="M207" s="1"/>
      <c r="N207" s="1"/>
      <c r="O207" s="1"/>
      <c r="P207" s="1"/>
      <c r="Q207" s="1"/>
      <c r="R207" s="1"/>
      <c r="S207" s="1"/>
      <c r="T207" s="1"/>
      <c r="U207" s="1"/>
    </row>
    <row r="208" ht="15.75" customHeight="1">
      <c r="A208" s="1"/>
      <c r="B208" s="1"/>
      <c r="C208" s="1"/>
      <c r="D208" s="2"/>
      <c r="E208" s="1"/>
      <c r="F208" s="1"/>
      <c r="G208" s="1"/>
      <c r="H208" s="1"/>
      <c r="I208" s="1"/>
      <c r="J208" s="1"/>
      <c r="K208" s="1"/>
      <c r="L208" s="1"/>
      <c r="M208" s="1"/>
      <c r="N208" s="1"/>
      <c r="O208" s="1"/>
      <c r="P208" s="1"/>
      <c r="Q208" s="1"/>
      <c r="R208" s="1"/>
      <c r="S208" s="1"/>
      <c r="T208" s="1"/>
      <c r="U208" s="1"/>
    </row>
    <row r="209" ht="15.75" customHeight="1">
      <c r="A209" s="1"/>
      <c r="B209" s="1"/>
      <c r="C209" s="1"/>
      <c r="D209" s="2"/>
      <c r="E209" s="1"/>
      <c r="F209" s="1"/>
      <c r="G209" s="1"/>
      <c r="H209" s="1"/>
      <c r="I209" s="1"/>
      <c r="J209" s="1"/>
      <c r="K209" s="1"/>
      <c r="L209" s="1"/>
      <c r="M209" s="1"/>
      <c r="N209" s="1"/>
      <c r="O209" s="1"/>
      <c r="P209" s="1"/>
      <c r="Q209" s="1"/>
      <c r="R209" s="1"/>
      <c r="S209" s="1"/>
      <c r="T209" s="1"/>
      <c r="U209" s="1"/>
    </row>
    <row r="210" ht="15.75" customHeight="1">
      <c r="A210" s="1"/>
      <c r="B210" s="1"/>
      <c r="C210" s="1"/>
      <c r="D210" s="2"/>
      <c r="E210" s="1"/>
      <c r="F210" s="1"/>
      <c r="G210" s="1"/>
      <c r="H210" s="1"/>
      <c r="I210" s="1"/>
      <c r="J210" s="1"/>
      <c r="K210" s="1"/>
      <c r="L210" s="1"/>
      <c r="M210" s="1"/>
      <c r="N210" s="1"/>
      <c r="O210" s="1"/>
      <c r="P210" s="1"/>
      <c r="Q210" s="1"/>
      <c r="R210" s="1"/>
      <c r="S210" s="1"/>
      <c r="T210" s="1"/>
      <c r="U210" s="1"/>
    </row>
    <row r="211" ht="15.75" customHeight="1">
      <c r="A211" s="1"/>
      <c r="B211" s="1"/>
      <c r="C211" s="1"/>
      <c r="D211" s="2"/>
      <c r="E211" s="1"/>
      <c r="F211" s="1"/>
      <c r="G211" s="1"/>
      <c r="H211" s="1"/>
      <c r="I211" s="1"/>
      <c r="J211" s="1"/>
      <c r="K211" s="1"/>
      <c r="L211" s="1"/>
      <c r="M211" s="1"/>
      <c r="N211" s="1"/>
      <c r="O211" s="1"/>
      <c r="P211" s="1"/>
      <c r="Q211" s="1"/>
      <c r="R211" s="1"/>
      <c r="S211" s="1"/>
      <c r="T211" s="1"/>
      <c r="U211" s="1"/>
    </row>
    <row r="212" ht="15.75" customHeight="1">
      <c r="A212" s="1"/>
      <c r="B212" s="1"/>
      <c r="C212" s="1"/>
      <c r="D212" s="2"/>
      <c r="E212" s="1"/>
      <c r="F212" s="1"/>
      <c r="G212" s="1"/>
      <c r="H212" s="1"/>
      <c r="I212" s="1"/>
      <c r="J212" s="1"/>
      <c r="K212" s="1"/>
      <c r="L212" s="1"/>
      <c r="M212" s="1"/>
      <c r="N212" s="1"/>
      <c r="O212" s="1"/>
      <c r="P212" s="1"/>
      <c r="Q212" s="1"/>
      <c r="R212" s="1"/>
      <c r="S212" s="1"/>
      <c r="T212" s="1"/>
      <c r="U212" s="1"/>
    </row>
    <row r="213" ht="15.75" customHeight="1">
      <c r="A213" s="1"/>
      <c r="B213" s="1"/>
      <c r="C213" s="1"/>
      <c r="D213" s="2"/>
      <c r="E213" s="1"/>
      <c r="F213" s="1"/>
      <c r="G213" s="1"/>
      <c r="H213" s="1"/>
      <c r="I213" s="1"/>
      <c r="J213" s="1"/>
      <c r="K213" s="1"/>
      <c r="L213" s="1"/>
      <c r="M213" s="1"/>
      <c r="N213" s="1"/>
      <c r="O213" s="1"/>
      <c r="P213" s="1"/>
      <c r="Q213" s="1"/>
      <c r="R213" s="1"/>
      <c r="S213" s="1"/>
      <c r="T213" s="1"/>
      <c r="U213" s="1"/>
    </row>
    <row r="214" ht="15.75" customHeight="1">
      <c r="A214" s="1"/>
      <c r="B214" s="1"/>
      <c r="C214" s="1"/>
      <c r="D214" s="2"/>
      <c r="E214" s="1"/>
      <c r="F214" s="1"/>
      <c r="G214" s="1"/>
      <c r="H214" s="1"/>
      <c r="I214" s="1"/>
      <c r="J214" s="1"/>
      <c r="K214" s="1"/>
      <c r="L214" s="1"/>
      <c r="M214" s="1"/>
      <c r="N214" s="1"/>
      <c r="O214" s="1"/>
      <c r="P214" s="1"/>
      <c r="Q214" s="1"/>
      <c r="R214" s="1"/>
      <c r="S214" s="1"/>
      <c r="T214" s="1"/>
      <c r="U214" s="1"/>
    </row>
    <row r="215" ht="15.75" customHeight="1">
      <c r="A215" s="1"/>
      <c r="B215" s="1"/>
      <c r="C215" s="1"/>
      <c r="D215" s="2"/>
      <c r="E215" s="1"/>
      <c r="F215" s="1"/>
      <c r="G215" s="1"/>
      <c r="H215" s="1"/>
      <c r="I215" s="1"/>
      <c r="J215" s="1"/>
      <c r="K215" s="1"/>
      <c r="L215" s="1"/>
      <c r="M215" s="1"/>
      <c r="N215" s="1"/>
      <c r="O215" s="1"/>
      <c r="P215" s="1"/>
      <c r="Q215" s="1"/>
      <c r="R215" s="1"/>
      <c r="S215" s="1"/>
      <c r="T215" s="1"/>
      <c r="U215" s="1"/>
    </row>
    <row r="216" ht="15.75" customHeight="1">
      <c r="A216" s="1"/>
      <c r="B216" s="1"/>
      <c r="C216" s="1"/>
      <c r="D216" s="2"/>
      <c r="E216" s="1"/>
      <c r="F216" s="1"/>
      <c r="G216" s="1"/>
      <c r="H216" s="1"/>
      <c r="I216" s="1"/>
      <c r="J216" s="1"/>
      <c r="K216" s="1"/>
      <c r="L216" s="1"/>
      <c r="M216" s="1"/>
      <c r="N216" s="1"/>
      <c r="O216" s="1"/>
      <c r="P216" s="1"/>
      <c r="Q216" s="1"/>
      <c r="R216" s="1"/>
      <c r="S216" s="1"/>
      <c r="T216" s="1"/>
      <c r="U216" s="1"/>
    </row>
    <row r="217" ht="15.75" customHeight="1">
      <c r="A217" s="1"/>
      <c r="B217" s="1"/>
      <c r="C217" s="1"/>
      <c r="D217" s="2"/>
      <c r="E217" s="1"/>
      <c r="F217" s="1"/>
      <c r="G217" s="1"/>
      <c r="H217" s="1"/>
      <c r="I217" s="1"/>
      <c r="J217" s="1"/>
      <c r="K217" s="1"/>
      <c r="L217" s="1"/>
      <c r="M217" s="1"/>
      <c r="N217" s="1"/>
      <c r="O217" s="1"/>
      <c r="P217" s="1"/>
      <c r="Q217" s="1"/>
      <c r="R217" s="1"/>
      <c r="S217" s="1"/>
      <c r="T217" s="1"/>
      <c r="U217" s="1"/>
    </row>
    <row r="218" ht="15.75" customHeight="1">
      <c r="A218" s="1"/>
      <c r="B218" s="1"/>
      <c r="C218" s="1"/>
      <c r="D218" s="2"/>
      <c r="E218" s="1"/>
      <c r="F218" s="1"/>
      <c r="G218" s="1"/>
      <c r="H218" s="1"/>
      <c r="I218" s="1"/>
      <c r="J218" s="1"/>
      <c r="K218" s="1"/>
      <c r="L218" s="1"/>
      <c r="M218" s="1"/>
      <c r="N218" s="1"/>
      <c r="O218" s="1"/>
      <c r="P218" s="1"/>
      <c r="Q218" s="1"/>
      <c r="R218" s="1"/>
      <c r="S218" s="1"/>
      <c r="T218" s="1"/>
      <c r="U218" s="1"/>
    </row>
    <row r="219" ht="15.75" customHeight="1">
      <c r="A219" s="1"/>
      <c r="B219" s="1"/>
      <c r="C219" s="1"/>
      <c r="D219" s="2"/>
      <c r="E219" s="1"/>
      <c r="F219" s="1"/>
      <c r="G219" s="1"/>
      <c r="H219" s="1"/>
      <c r="I219" s="1"/>
      <c r="J219" s="1"/>
      <c r="K219" s="1"/>
      <c r="L219" s="1"/>
      <c r="M219" s="1"/>
      <c r="N219" s="1"/>
      <c r="O219" s="1"/>
      <c r="P219" s="1"/>
      <c r="Q219" s="1"/>
      <c r="R219" s="1"/>
      <c r="S219" s="1"/>
      <c r="T219" s="1"/>
      <c r="U219" s="1"/>
    </row>
    <row r="220" ht="15.75" customHeight="1">
      <c r="A220" s="1"/>
      <c r="B220" s="1"/>
      <c r="C220" s="1"/>
      <c r="D220" s="2"/>
      <c r="E220" s="1"/>
      <c r="F220" s="1"/>
      <c r="G220" s="1"/>
      <c r="H220" s="1"/>
      <c r="I220" s="1"/>
      <c r="J220" s="1"/>
      <c r="K220" s="1"/>
      <c r="L220" s="1"/>
      <c r="M220" s="1"/>
      <c r="N220" s="1"/>
      <c r="O220" s="1"/>
      <c r="P220" s="1"/>
      <c r="Q220" s="1"/>
      <c r="R220" s="1"/>
      <c r="S220" s="1"/>
      <c r="T220" s="1"/>
      <c r="U220" s="1"/>
    </row>
    <row r="221" ht="15.75" customHeight="1">
      <c r="A221" s="1"/>
      <c r="B221" s="1"/>
      <c r="C221" s="1"/>
      <c r="D221" s="2"/>
      <c r="E221" s="1"/>
      <c r="F221" s="1"/>
      <c r="G221" s="1"/>
      <c r="H221" s="1"/>
      <c r="I221" s="1"/>
      <c r="J221" s="1"/>
      <c r="K221" s="1"/>
      <c r="L221" s="1"/>
      <c r="M221" s="1"/>
      <c r="N221" s="1"/>
      <c r="O221" s="1"/>
      <c r="P221" s="1"/>
      <c r="Q221" s="1"/>
      <c r="R221" s="1"/>
      <c r="S221" s="1"/>
      <c r="T221" s="1"/>
      <c r="U221" s="1"/>
    </row>
    <row r="222" ht="15.75" customHeight="1">
      <c r="A222" s="1"/>
      <c r="B222" s="1"/>
      <c r="C222" s="1"/>
      <c r="D222" s="2"/>
      <c r="E222" s="1"/>
      <c r="F222" s="1"/>
      <c r="G222" s="1"/>
      <c r="H222" s="1"/>
      <c r="I222" s="1"/>
      <c r="J222" s="1"/>
      <c r="K222" s="1"/>
      <c r="L222" s="1"/>
      <c r="M222" s="1"/>
      <c r="N222" s="1"/>
      <c r="O222" s="1"/>
      <c r="P222" s="1"/>
      <c r="Q222" s="1"/>
      <c r="R222" s="1"/>
      <c r="S222" s="1"/>
      <c r="T222" s="1"/>
      <c r="U222" s="1"/>
    </row>
    <row r="223" ht="15.75" customHeight="1">
      <c r="A223" s="1"/>
      <c r="B223" s="1"/>
      <c r="C223" s="1"/>
      <c r="D223" s="2"/>
      <c r="E223" s="1"/>
      <c r="F223" s="1"/>
      <c r="G223" s="1"/>
      <c r="H223" s="1"/>
      <c r="I223" s="1"/>
      <c r="J223" s="1"/>
      <c r="K223" s="1"/>
      <c r="L223" s="1"/>
      <c r="M223" s="1"/>
      <c r="N223" s="1"/>
      <c r="O223" s="1"/>
      <c r="P223" s="1"/>
      <c r="Q223" s="1"/>
      <c r="R223" s="1"/>
      <c r="S223" s="1"/>
      <c r="T223" s="1"/>
      <c r="U223" s="1"/>
    </row>
    <row r="224" ht="15.75" customHeight="1">
      <c r="A224" s="1"/>
      <c r="B224" s="1"/>
      <c r="C224" s="1"/>
      <c r="D224" s="2"/>
      <c r="E224" s="1"/>
      <c r="F224" s="1"/>
      <c r="G224" s="1"/>
      <c r="H224" s="1"/>
      <c r="I224" s="1"/>
      <c r="J224" s="1"/>
      <c r="K224" s="1"/>
      <c r="L224" s="1"/>
      <c r="M224" s="1"/>
      <c r="N224" s="1"/>
      <c r="O224" s="1"/>
      <c r="P224" s="1"/>
      <c r="Q224" s="1"/>
      <c r="R224" s="1"/>
      <c r="S224" s="1"/>
      <c r="T224" s="1"/>
      <c r="U224" s="1"/>
    </row>
    <row r="225" ht="15.75" customHeight="1">
      <c r="A225" s="1"/>
      <c r="B225" s="1"/>
      <c r="C225" s="1"/>
      <c r="D225" s="2"/>
      <c r="E225" s="1"/>
      <c r="F225" s="1"/>
      <c r="G225" s="1"/>
      <c r="H225" s="1"/>
      <c r="I225" s="1"/>
      <c r="J225" s="1"/>
      <c r="K225" s="1"/>
      <c r="L225" s="1"/>
      <c r="M225" s="1"/>
      <c r="N225" s="1"/>
      <c r="O225" s="1"/>
      <c r="P225" s="1"/>
      <c r="Q225" s="1"/>
      <c r="R225" s="1"/>
      <c r="S225" s="1"/>
      <c r="T225" s="1"/>
      <c r="U225" s="1"/>
    </row>
    <row r="226" ht="15.75" customHeight="1">
      <c r="A226" s="1"/>
      <c r="B226" s="1"/>
      <c r="C226" s="1"/>
      <c r="D226" s="2"/>
      <c r="E226" s="1"/>
      <c r="F226" s="1"/>
      <c r="G226" s="1"/>
      <c r="H226" s="1"/>
      <c r="I226" s="1"/>
      <c r="J226" s="1"/>
      <c r="K226" s="1"/>
      <c r="L226" s="1"/>
      <c r="M226" s="1"/>
      <c r="N226" s="1"/>
      <c r="O226" s="1"/>
      <c r="P226" s="1"/>
      <c r="Q226" s="1"/>
      <c r="R226" s="1"/>
      <c r="S226" s="1"/>
      <c r="T226" s="1"/>
      <c r="U226" s="1"/>
    </row>
    <row r="227" ht="15.75" customHeight="1">
      <c r="A227" s="1"/>
      <c r="B227" s="1"/>
      <c r="C227" s="1"/>
      <c r="D227" s="2"/>
      <c r="E227" s="1"/>
      <c r="F227" s="1"/>
      <c r="G227" s="1"/>
      <c r="H227" s="1"/>
      <c r="I227" s="1"/>
      <c r="J227" s="1"/>
      <c r="K227" s="1"/>
      <c r="L227" s="1"/>
      <c r="M227" s="1"/>
      <c r="N227" s="1"/>
      <c r="O227" s="1"/>
      <c r="P227" s="1"/>
      <c r="Q227" s="1"/>
      <c r="R227" s="1"/>
      <c r="S227" s="1"/>
      <c r="T227" s="1"/>
      <c r="U227" s="1"/>
    </row>
    <row r="228" ht="15.75" customHeight="1">
      <c r="A228" s="1"/>
      <c r="B228" s="1"/>
      <c r="C228" s="1"/>
      <c r="D228" s="2"/>
      <c r="E228" s="1"/>
      <c r="F228" s="1"/>
      <c r="G228" s="1"/>
      <c r="H228" s="1"/>
      <c r="I228" s="1"/>
      <c r="J228" s="1"/>
      <c r="K228" s="1"/>
      <c r="L228" s="1"/>
      <c r="M228" s="1"/>
      <c r="N228" s="1"/>
      <c r="O228" s="1"/>
      <c r="P228" s="1"/>
      <c r="Q228" s="1"/>
      <c r="R228" s="1"/>
      <c r="S228" s="1"/>
      <c r="T228" s="1"/>
      <c r="U228" s="1"/>
    </row>
    <row r="229" ht="15.75" customHeight="1">
      <c r="A229" s="1"/>
      <c r="B229" s="1"/>
      <c r="C229" s="1"/>
      <c r="D229" s="2"/>
      <c r="E229" s="1"/>
      <c r="F229" s="1"/>
      <c r="G229" s="1"/>
      <c r="H229" s="1"/>
      <c r="I229" s="1"/>
      <c r="J229" s="1"/>
      <c r="K229" s="1"/>
      <c r="L229" s="1"/>
      <c r="M229" s="1"/>
      <c r="N229" s="1"/>
      <c r="O229" s="1"/>
      <c r="P229" s="1"/>
      <c r="Q229" s="1"/>
      <c r="R229" s="1"/>
      <c r="S229" s="1"/>
      <c r="T229" s="1"/>
      <c r="U229" s="1"/>
    </row>
    <row r="230" ht="15.75" customHeight="1">
      <c r="A230" s="1"/>
      <c r="B230" s="1"/>
      <c r="C230" s="1"/>
      <c r="D230" s="2"/>
      <c r="E230" s="1"/>
      <c r="F230" s="1"/>
      <c r="G230" s="1"/>
      <c r="H230" s="1"/>
      <c r="I230" s="1"/>
      <c r="J230" s="1"/>
      <c r="K230" s="1"/>
      <c r="L230" s="1"/>
      <c r="M230" s="1"/>
      <c r="N230" s="1"/>
      <c r="O230" s="1"/>
      <c r="P230" s="1"/>
      <c r="Q230" s="1"/>
      <c r="R230" s="1"/>
      <c r="S230" s="1"/>
      <c r="T230" s="1"/>
      <c r="U230" s="1"/>
    </row>
    <row r="231" ht="15.75" customHeight="1">
      <c r="A231" s="1"/>
      <c r="B231" s="1"/>
      <c r="C231" s="1"/>
      <c r="D231" s="2"/>
      <c r="E231" s="1"/>
      <c r="F231" s="1"/>
      <c r="G231" s="1"/>
      <c r="H231" s="1"/>
      <c r="I231" s="1"/>
      <c r="J231" s="1"/>
      <c r="K231" s="1"/>
      <c r="L231" s="1"/>
      <c r="M231" s="1"/>
      <c r="N231" s="1"/>
      <c r="O231" s="1"/>
      <c r="P231" s="1"/>
      <c r="Q231" s="1"/>
      <c r="R231" s="1"/>
      <c r="S231" s="1"/>
      <c r="T231" s="1"/>
      <c r="U231" s="1"/>
    </row>
    <row r="232" ht="15.75" customHeight="1">
      <c r="A232" s="1"/>
      <c r="B232" s="1"/>
      <c r="C232" s="1"/>
      <c r="D232" s="2"/>
      <c r="E232" s="1"/>
      <c r="F232" s="1"/>
      <c r="G232" s="1"/>
      <c r="H232" s="1"/>
      <c r="I232" s="1"/>
      <c r="J232" s="1"/>
      <c r="K232" s="1"/>
      <c r="L232" s="1"/>
      <c r="M232" s="1"/>
      <c r="N232" s="1"/>
      <c r="O232" s="1"/>
      <c r="P232" s="1"/>
      <c r="Q232" s="1"/>
      <c r="R232" s="1"/>
      <c r="S232" s="1"/>
      <c r="T232" s="1"/>
      <c r="U232" s="1"/>
    </row>
    <row r="233" ht="15.75" customHeight="1">
      <c r="A233" s="1"/>
      <c r="B233" s="1"/>
      <c r="C233" s="1"/>
      <c r="D233" s="2"/>
      <c r="E233" s="1"/>
      <c r="F233" s="1"/>
      <c r="G233" s="1"/>
      <c r="H233" s="1"/>
      <c r="I233" s="1"/>
      <c r="J233" s="1"/>
      <c r="K233" s="1"/>
      <c r="L233" s="1"/>
      <c r="M233" s="1"/>
      <c r="N233" s="1"/>
      <c r="O233" s="1"/>
      <c r="P233" s="1"/>
      <c r="Q233" s="1"/>
      <c r="R233" s="1"/>
      <c r="S233" s="1"/>
      <c r="T233" s="1"/>
      <c r="U233" s="1"/>
    </row>
    <row r="234" ht="15.75" customHeight="1">
      <c r="A234" s="1"/>
      <c r="B234" s="1"/>
      <c r="C234" s="1"/>
      <c r="D234" s="2"/>
      <c r="E234" s="1"/>
      <c r="F234" s="1"/>
      <c r="G234" s="1"/>
      <c r="H234" s="1"/>
      <c r="I234" s="1"/>
      <c r="J234" s="1"/>
      <c r="K234" s="1"/>
      <c r="L234" s="1"/>
      <c r="M234" s="1"/>
      <c r="N234" s="1"/>
      <c r="O234" s="1"/>
      <c r="P234" s="1"/>
      <c r="Q234" s="1"/>
      <c r="R234" s="1"/>
      <c r="S234" s="1"/>
      <c r="T234" s="1"/>
      <c r="U234" s="1"/>
    </row>
    <row r="235" ht="15.75" customHeight="1">
      <c r="A235" s="1"/>
      <c r="B235" s="1"/>
      <c r="C235" s="1"/>
      <c r="D235" s="2"/>
      <c r="E235" s="1"/>
      <c r="F235" s="1"/>
      <c r="G235" s="1"/>
      <c r="H235" s="1"/>
      <c r="I235" s="1"/>
      <c r="J235" s="1"/>
      <c r="K235" s="1"/>
      <c r="L235" s="1"/>
      <c r="M235" s="1"/>
      <c r="N235" s="1"/>
      <c r="O235" s="1"/>
      <c r="P235" s="1"/>
      <c r="Q235" s="1"/>
      <c r="R235" s="1"/>
      <c r="S235" s="1"/>
      <c r="T235" s="1"/>
      <c r="U235" s="1"/>
    </row>
    <row r="236" ht="15.75" customHeight="1">
      <c r="A236" s="1"/>
      <c r="B236" s="1"/>
      <c r="C236" s="1"/>
      <c r="D236" s="2"/>
      <c r="E236" s="1"/>
      <c r="F236" s="1"/>
      <c r="G236" s="1"/>
      <c r="H236" s="1"/>
      <c r="I236" s="1"/>
      <c r="J236" s="1"/>
      <c r="K236" s="1"/>
      <c r="L236" s="1"/>
      <c r="M236" s="1"/>
      <c r="N236" s="1"/>
      <c r="O236" s="1"/>
      <c r="P236" s="1"/>
      <c r="Q236" s="1"/>
      <c r="R236" s="1"/>
      <c r="S236" s="1"/>
      <c r="T236" s="1"/>
      <c r="U236" s="1"/>
    </row>
    <row r="237" ht="15.75" customHeight="1">
      <c r="A237" s="1"/>
      <c r="B237" s="1"/>
      <c r="C237" s="1"/>
      <c r="D237" s="2"/>
      <c r="E237" s="1"/>
      <c r="F237" s="1"/>
      <c r="G237" s="1"/>
      <c r="H237" s="1"/>
      <c r="I237" s="1"/>
      <c r="J237" s="1"/>
      <c r="K237" s="1"/>
      <c r="L237" s="1"/>
      <c r="M237" s="1"/>
      <c r="N237" s="1"/>
      <c r="O237" s="1"/>
      <c r="P237" s="1"/>
      <c r="Q237" s="1"/>
      <c r="R237" s="1"/>
      <c r="S237" s="1"/>
      <c r="T237" s="1"/>
      <c r="U237" s="1"/>
    </row>
    <row r="238" ht="15.75" customHeight="1">
      <c r="A238" s="1"/>
      <c r="B238" s="1"/>
      <c r="C238" s="1"/>
      <c r="D238" s="2"/>
      <c r="E238" s="1"/>
      <c r="F238" s="1"/>
      <c r="G238" s="1"/>
      <c r="H238" s="1"/>
      <c r="I238" s="1"/>
      <c r="J238" s="1"/>
      <c r="K238" s="1"/>
      <c r="L238" s="1"/>
      <c r="M238" s="1"/>
      <c r="N238" s="1"/>
      <c r="O238" s="1"/>
      <c r="P238" s="1"/>
      <c r="Q238" s="1"/>
      <c r="R238" s="1"/>
      <c r="S238" s="1"/>
      <c r="T238" s="1"/>
      <c r="U238" s="1"/>
    </row>
    <row r="239" ht="15.75" customHeight="1">
      <c r="A239" s="1"/>
      <c r="B239" s="1"/>
      <c r="C239" s="1"/>
      <c r="D239" s="2"/>
      <c r="E239" s="1"/>
      <c r="F239" s="1"/>
      <c r="G239" s="1"/>
      <c r="H239" s="1"/>
      <c r="I239" s="1"/>
      <c r="J239" s="1"/>
      <c r="K239" s="1"/>
      <c r="L239" s="1"/>
      <c r="M239" s="1"/>
      <c r="N239" s="1"/>
      <c r="O239" s="1"/>
      <c r="P239" s="1"/>
      <c r="Q239" s="1"/>
      <c r="R239" s="1"/>
      <c r="S239" s="1"/>
      <c r="T239" s="1"/>
      <c r="U239" s="1"/>
    </row>
    <row r="240" ht="15.75" customHeight="1">
      <c r="A240" s="1"/>
      <c r="B240" s="1"/>
      <c r="C240" s="1"/>
      <c r="D240" s="2"/>
      <c r="E240" s="1"/>
      <c r="F240" s="1"/>
      <c r="G240" s="1"/>
      <c r="H240" s="1"/>
      <c r="I240" s="1"/>
      <c r="J240" s="1"/>
      <c r="K240" s="1"/>
      <c r="L240" s="1"/>
      <c r="M240" s="1"/>
      <c r="N240" s="1"/>
      <c r="O240" s="1"/>
      <c r="P240" s="1"/>
      <c r="Q240" s="1"/>
      <c r="R240" s="1"/>
      <c r="S240" s="1"/>
      <c r="T240" s="1"/>
      <c r="U240" s="1"/>
    </row>
    <row r="241" ht="15.75" customHeight="1">
      <c r="A241" s="1"/>
      <c r="B241" s="1"/>
      <c r="C241" s="1"/>
      <c r="D241" s="2"/>
      <c r="E241" s="1"/>
      <c r="F241" s="1"/>
      <c r="G241" s="1"/>
      <c r="H241" s="1"/>
      <c r="I241" s="1"/>
      <c r="J241" s="1"/>
      <c r="K241" s="1"/>
      <c r="L241" s="1"/>
      <c r="M241" s="1"/>
      <c r="N241" s="1"/>
      <c r="O241" s="1"/>
      <c r="P241" s="1"/>
      <c r="Q241" s="1"/>
      <c r="R241" s="1"/>
      <c r="S241" s="1"/>
      <c r="T241" s="1"/>
      <c r="U241" s="1"/>
    </row>
    <row r="242" ht="15.75" customHeight="1">
      <c r="A242" s="1"/>
      <c r="B242" s="1"/>
      <c r="C242" s="1"/>
      <c r="D242" s="2"/>
      <c r="E242" s="1"/>
      <c r="F242" s="1"/>
      <c r="G242" s="1"/>
      <c r="H242" s="1"/>
      <c r="I242" s="1"/>
      <c r="J242" s="1"/>
      <c r="K242" s="1"/>
      <c r="L242" s="1"/>
      <c r="M242" s="1"/>
      <c r="N242" s="1"/>
      <c r="O242" s="1"/>
      <c r="P242" s="1"/>
      <c r="Q242" s="1"/>
      <c r="R242" s="1"/>
      <c r="S242" s="1"/>
      <c r="T242" s="1"/>
      <c r="U242" s="1"/>
    </row>
    <row r="243" ht="15.75" customHeight="1">
      <c r="A243" s="1"/>
      <c r="B243" s="1"/>
      <c r="C243" s="1"/>
      <c r="D243" s="2"/>
      <c r="E243" s="1"/>
      <c r="F243" s="1"/>
      <c r="G243" s="1"/>
      <c r="H243" s="1"/>
      <c r="I243" s="1"/>
      <c r="J243" s="1"/>
      <c r="K243" s="1"/>
      <c r="L243" s="1"/>
      <c r="M243" s="1"/>
      <c r="N243" s="1"/>
      <c r="O243" s="1"/>
      <c r="P243" s="1"/>
      <c r="Q243" s="1"/>
      <c r="R243" s="1"/>
      <c r="S243" s="1"/>
      <c r="T243" s="1"/>
      <c r="U243" s="1"/>
    </row>
    <row r="244" ht="15.75" customHeight="1">
      <c r="A244" s="1"/>
      <c r="B244" s="1"/>
      <c r="C244" s="1"/>
      <c r="D244" s="2"/>
      <c r="E244" s="1"/>
      <c r="F244" s="1"/>
      <c r="G244" s="1"/>
      <c r="H244" s="1"/>
      <c r="I244" s="1"/>
      <c r="J244" s="1"/>
      <c r="K244" s="1"/>
      <c r="L244" s="1"/>
      <c r="M244" s="1"/>
      <c r="N244" s="1"/>
      <c r="O244" s="1"/>
      <c r="P244" s="1"/>
      <c r="Q244" s="1"/>
      <c r="R244" s="1"/>
      <c r="S244" s="1"/>
      <c r="T244" s="1"/>
      <c r="U244" s="1"/>
    </row>
    <row r="245" ht="15.75" customHeight="1">
      <c r="A245" s="1"/>
      <c r="B245" s="1"/>
      <c r="C245" s="1"/>
      <c r="D245" s="2"/>
      <c r="E245" s="1"/>
      <c r="F245" s="1"/>
      <c r="G245" s="1"/>
      <c r="H245" s="1"/>
      <c r="I245" s="1"/>
      <c r="J245" s="1"/>
      <c r="K245" s="1"/>
      <c r="L245" s="1"/>
      <c r="M245" s="1"/>
      <c r="N245" s="1"/>
      <c r="O245" s="1"/>
      <c r="P245" s="1"/>
      <c r="Q245" s="1"/>
      <c r="R245" s="1"/>
      <c r="S245" s="1"/>
      <c r="T245" s="1"/>
      <c r="U245" s="1"/>
    </row>
    <row r="246" ht="15.75" customHeight="1">
      <c r="A246" s="1"/>
      <c r="B246" s="1"/>
      <c r="C246" s="1"/>
      <c r="D246" s="2"/>
      <c r="E246" s="1"/>
      <c r="F246" s="1"/>
      <c r="G246" s="1"/>
      <c r="H246" s="1"/>
      <c r="I246" s="1"/>
      <c r="J246" s="1"/>
      <c r="K246" s="1"/>
      <c r="L246" s="1"/>
      <c r="M246" s="1"/>
      <c r="N246" s="1"/>
      <c r="O246" s="1"/>
      <c r="P246" s="1"/>
      <c r="Q246" s="1"/>
      <c r="R246" s="1"/>
      <c r="S246" s="1"/>
      <c r="T246" s="1"/>
      <c r="U246" s="1"/>
    </row>
    <row r="247" ht="15.75" customHeight="1">
      <c r="A247" s="1"/>
      <c r="B247" s="1"/>
      <c r="C247" s="1"/>
      <c r="D247" s="2"/>
      <c r="E247" s="1"/>
      <c r="F247" s="1"/>
      <c r="G247" s="1"/>
      <c r="H247" s="1"/>
      <c r="I247" s="1"/>
      <c r="J247" s="1"/>
      <c r="K247" s="1"/>
      <c r="L247" s="1"/>
      <c r="M247" s="1"/>
      <c r="N247" s="1"/>
      <c r="O247" s="1"/>
      <c r="P247" s="1"/>
      <c r="Q247" s="1"/>
      <c r="R247" s="1"/>
      <c r="S247" s="1"/>
      <c r="T247" s="1"/>
      <c r="U247" s="1"/>
    </row>
    <row r="248" ht="15.75" customHeight="1">
      <c r="A248" s="1"/>
      <c r="B248" s="1"/>
      <c r="C248" s="1"/>
      <c r="D248" s="2"/>
      <c r="E248" s="1"/>
      <c r="F248" s="1"/>
      <c r="G248" s="1"/>
      <c r="H248" s="1"/>
      <c r="I248" s="1"/>
      <c r="J248" s="1"/>
      <c r="K248" s="1"/>
      <c r="L248" s="1"/>
      <c r="M248" s="1"/>
      <c r="N248" s="1"/>
      <c r="O248" s="1"/>
      <c r="P248" s="1"/>
      <c r="Q248" s="1"/>
      <c r="R248" s="1"/>
      <c r="S248" s="1"/>
      <c r="T248" s="1"/>
      <c r="U248" s="1"/>
    </row>
    <row r="249" ht="15.75" customHeight="1">
      <c r="A249" s="1"/>
      <c r="B249" s="1"/>
      <c r="C249" s="1"/>
      <c r="D249" s="2"/>
      <c r="E249" s="1"/>
      <c r="F249" s="1"/>
      <c r="G249" s="1"/>
      <c r="H249" s="1"/>
      <c r="I249" s="1"/>
      <c r="J249" s="1"/>
      <c r="K249" s="1"/>
      <c r="L249" s="1"/>
      <c r="M249" s="1"/>
      <c r="N249" s="1"/>
      <c r="O249" s="1"/>
      <c r="P249" s="1"/>
      <c r="Q249" s="1"/>
      <c r="R249" s="1"/>
      <c r="S249" s="1"/>
      <c r="T249" s="1"/>
      <c r="U249" s="1"/>
    </row>
    <row r="250" ht="15.75" customHeight="1">
      <c r="A250" s="1"/>
      <c r="B250" s="1"/>
      <c r="C250" s="1"/>
      <c r="D250" s="2"/>
      <c r="E250" s="1"/>
      <c r="F250" s="1"/>
      <c r="G250" s="1"/>
      <c r="H250" s="1"/>
      <c r="I250" s="1"/>
      <c r="J250" s="1"/>
      <c r="K250" s="1"/>
      <c r="L250" s="1"/>
      <c r="M250" s="1"/>
      <c r="N250" s="1"/>
      <c r="O250" s="1"/>
      <c r="P250" s="1"/>
      <c r="Q250" s="1"/>
      <c r="R250" s="1"/>
      <c r="S250" s="1"/>
      <c r="T250" s="1"/>
      <c r="U250" s="1"/>
    </row>
    <row r="251" ht="15.75" customHeight="1">
      <c r="A251" s="1"/>
      <c r="B251" s="1"/>
      <c r="C251" s="1"/>
      <c r="D251" s="2"/>
      <c r="E251" s="1"/>
      <c r="F251" s="1"/>
      <c r="G251" s="1"/>
      <c r="H251" s="1"/>
      <c r="I251" s="1"/>
      <c r="J251" s="1"/>
      <c r="K251" s="1"/>
      <c r="L251" s="1"/>
      <c r="M251" s="1"/>
      <c r="N251" s="1"/>
      <c r="O251" s="1"/>
      <c r="P251" s="1"/>
      <c r="Q251" s="1"/>
      <c r="R251" s="1"/>
      <c r="S251" s="1"/>
      <c r="T251" s="1"/>
      <c r="U251" s="1"/>
    </row>
    <row r="252" ht="15.75" customHeight="1">
      <c r="A252" s="1"/>
      <c r="B252" s="1"/>
      <c r="C252" s="1"/>
      <c r="D252" s="2"/>
      <c r="E252" s="1"/>
      <c r="F252" s="1"/>
      <c r="G252" s="1"/>
      <c r="H252" s="1"/>
      <c r="I252" s="1"/>
      <c r="J252" s="1"/>
      <c r="K252" s="1"/>
      <c r="L252" s="1"/>
      <c r="M252" s="1"/>
      <c r="N252" s="1"/>
      <c r="O252" s="1"/>
      <c r="P252" s="1"/>
      <c r="Q252" s="1"/>
      <c r="R252" s="1"/>
      <c r="S252" s="1"/>
      <c r="T252" s="1"/>
      <c r="U252" s="1"/>
    </row>
    <row r="253" ht="15.75" customHeight="1">
      <c r="A253" s="1"/>
      <c r="B253" s="1"/>
      <c r="C253" s="1"/>
      <c r="D253" s="2"/>
      <c r="E253" s="1"/>
      <c r="F253" s="1"/>
      <c r="G253" s="1"/>
      <c r="H253" s="1"/>
      <c r="I253" s="1"/>
      <c r="J253" s="1"/>
      <c r="K253" s="1"/>
      <c r="L253" s="1"/>
      <c r="M253" s="1"/>
      <c r="N253" s="1"/>
      <c r="O253" s="1"/>
      <c r="P253" s="1"/>
      <c r="Q253" s="1"/>
      <c r="R253" s="1"/>
      <c r="S253" s="1"/>
      <c r="T253" s="1"/>
      <c r="U253" s="1"/>
    </row>
    <row r="254" ht="15.75" customHeight="1">
      <c r="A254" s="1"/>
      <c r="B254" s="1"/>
      <c r="C254" s="1"/>
      <c r="D254" s="2"/>
      <c r="E254" s="1"/>
      <c r="F254" s="1"/>
      <c r="G254" s="1"/>
      <c r="H254" s="1"/>
      <c r="I254" s="1"/>
      <c r="J254" s="1"/>
      <c r="K254" s="1"/>
      <c r="L254" s="1"/>
      <c r="M254" s="1"/>
      <c r="N254" s="1"/>
      <c r="O254" s="1"/>
      <c r="P254" s="1"/>
      <c r="Q254" s="1"/>
      <c r="R254" s="1"/>
      <c r="S254" s="1"/>
      <c r="T254" s="1"/>
      <c r="U254" s="1"/>
    </row>
    <row r="255" ht="15.75" customHeight="1">
      <c r="A255" s="1"/>
      <c r="B255" s="1"/>
      <c r="C255" s="1"/>
      <c r="D255" s="2"/>
      <c r="E255" s="1"/>
      <c r="F255" s="1"/>
      <c r="G255" s="1"/>
      <c r="H255" s="1"/>
      <c r="I255" s="1"/>
      <c r="J255" s="1"/>
      <c r="K255" s="1"/>
      <c r="L255" s="1"/>
      <c r="M255" s="1"/>
      <c r="N255" s="1"/>
      <c r="O255" s="1"/>
      <c r="P255" s="1"/>
      <c r="Q255" s="1"/>
      <c r="R255" s="1"/>
      <c r="S255" s="1"/>
      <c r="T255" s="1"/>
      <c r="U255" s="1"/>
    </row>
    <row r="256" ht="15.75" customHeight="1">
      <c r="A256" s="1"/>
      <c r="B256" s="1"/>
      <c r="C256" s="1"/>
      <c r="D256" s="2"/>
      <c r="E256" s="1"/>
      <c r="F256" s="1"/>
      <c r="G256" s="1"/>
      <c r="H256" s="1"/>
      <c r="I256" s="1"/>
      <c r="J256" s="1"/>
      <c r="K256" s="1"/>
      <c r="L256" s="1"/>
      <c r="M256" s="1"/>
      <c r="N256" s="1"/>
      <c r="O256" s="1"/>
      <c r="P256" s="1"/>
      <c r="Q256" s="1"/>
      <c r="R256" s="1"/>
      <c r="S256" s="1"/>
      <c r="T256" s="1"/>
      <c r="U256" s="1"/>
    </row>
    <row r="257" ht="15.75" customHeight="1">
      <c r="A257" s="1"/>
      <c r="B257" s="1"/>
      <c r="C257" s="1"/>
      <c r="D257" s="2"/>
      <c r="E257" s="1"/>
      <c r="F257" s="1"/>
      <c r="G257" s="1"/>
      <c r="H257" s="1"/>
      <c r="I257" s="1"/>
      <c r="J257" s="1"/>
      <c r="K257" s="1"/>
      <c r="L257" s="1"/>
      <c r="M257" s="1"/>
      <c r="N257" s="1"/>
      <c r="O257" s="1"/>
      <c r="P257" s="1"/>
      <c r="Q257" s="1"/>
      <c r="R257" s="1"/>
      <c r="S257" s="1"/>
      <c r="T257" s="1"/>
      <c r="U257" s="1"/>
    </row>
    <row r="258" ht="15.75" customHeight="1">
      <c r="A258" s="1"/>
      <c r="B258" s="1"/>
      <c r="C258" s="1"/>
      <c r="D258" s="2"/>
      <c r="E258" s="1"/>
      <c r="F258" s="1"/>
      <c r="G258" s="1"/>
      <c r="H258" s="1"/>
      <c r="I258" s="1"/>
      <c r="J258" s="1"/>
      <c r="K258" s="1"/>
      <c r="L258" s="1"/>
      <c r="M258" s="1"/>
      <c r="N258" s="1"/>
      <c r="O258" s="1"/>
      <c r="P258" s="1"/>
      <c r="Q258" s="1"/>
      <c r="R258" s="1"/>
      <c r="S258" s="1"/>
      <c r="T258" s="1"/>
      <c r="U258" s="1"/>
    </row>
    <row r="259" ht="15.75" customHeight="1">
      <c r="A259" s="1"/>
      <c r="B259" s="1"/>
      <c r="C259" s="1"/>
      <c r="D259" s="2"/>
      <c r="E259" s="1"/>
      <c r="F259" s="1"/>
      <c r="G259" s="1"/>
      <c r="H259" s="1"/>
      <c r="I259" s="1"/>
      <c r="J259" s="1"/>
      <c r="K259" s="1"/>
      <c r="L259" s="1"/>
      <c r="M259" s="1"/>
      <c r="N259" s="1"/>
      <c r="O259" s="1"/>
      <c r="P259" s="1"/>
      <c r="Q259" s="1"/>
      <c r="R259" s="1"/>
      <c r="S259" s="1"/>
      <c r="T259" s="1"/>
      <c r="U259" s="1"/>
    </row>
    <row r="260" ht="15.75" customHeight="1">
      <c r="A260" s="1"/>
      <c r="B260" s="1"/>
      <c r="C260" s="1"/>
      <c r="D260" s="2"/>
      <c r="E260" s="1"/>
      <c r="F260" s="1"/>
      <c r="G260" s="1"/>
      <c r="H260" s="1"/>
      <c r="I260" s="1"/>
      <c r="J260" s="1"/>
      <c r="K260" s="1"/>
      <c r="L260" s="1"/>
      <c r="M260" s="1"/>
      <c r="N260" s="1"/>
      <c r="O260" s="1"/>
      <c r="P260" s="1"/>
      <c r="Q260" s="1"/>
      <c r="R260" s="1"/>
      <c r="S260" s="1"/>
      <c r="T260" s="1"/>
      <c r="U260" s="1"/>
    </row>
    <row r="261" ht="15.75" customHeight="1">
      <c r="A261" s="1"/>
      <c r="B261" s="1"/>
      <c r="C261" s="1"/>
      <c r="D261" s="2"/>
      <c r="E261" s="1"/>
      <c r="F261" s="1"/>
      <c r="G261" s="1"/>
      <c r="H261" s="1"/>
      <c r="I261" s="1"/>
      <c r="J261" s="1"/>
      <c r="K261" s="1"/>
      <c r="L261" s="1"/>
      <c r="M261" s="1"/>
      <c r="N261" s="1"/>
      <c r="O261" s="1"/>
      <c r="P261" s="1"/>
      <c r="Q261" s="1"/>
      <c r="R261" s="1"/>
      <c r="S261" s="1"/>
      <c r="T261" s="1"/>
      <c r="U261" s="1"/>
    </row>
    <row r="262" ht="15.75" customHeight="1">
      <c r="A262" s="1"/>
      <c r="B262" s="1"/>
      <c r="C262" s="1"/>
      <c r="D262" s="2"/>
      <c r="E262" s="1"/>
      <c r="F262" s="1"/>
      <c r="G262" s="1"/>
      <c r="H262" s="1"/>
      <c r="I262" s="1"/>
      <c r="J262" s="1"/>
      <c r="K262" s="1"/>
      <c r="L262" s="1"/>
      <c r="M262" s="1"/>
      <c r="N262" s="1"/>
      <c r="O262" s="1"/>
      <c r="P262" s="1"/>
      <c r="Q262" s="1"/>
      <c r="R262" s="1"/>
      <c r="S262" s="1"/>
      <c r="T262" s="1"/>
      <c r="U262" s="1"/>
    </row>
    <row r="263" ht="15.75" customHeight="1">
      <c r="A263" s="1"/>
      <c r="B263" s="1"/>
      <c r="C263" s="1"/>
      <c r="D263" s="2"/>
      <c r="E263" s="1"/>
      <c r="F263" s="1"/>
      <c r="G263" s="1"/>
      <c r="H263" s="1"/>
      <c r="I263" s="1"/>
      <c r="J263" s="1"/>
      <c r="K263" s="1"/>
      <c r="L263" s="1"/>
      <c r="M263" s="1"/>
      <c r="N263" s="1"/>
      <c r="O263" s="1"/>
      <c r="P263" s="1"/>
      <c r="Q263" s="1"/>
      <c r="R263" s="1"/>
      <c r="S263" s="1"/>
      <c r="T263" s="1"/>
      <c r="U263" s="1"/>
    </row>
    <row r="264" ht="15.75" customHeight="1">
      <c r="A264" s="1"/>
      <c r="B264" s="1"/>
      <c r="C264" s="1"/>
      <c r="D264" s="2"/>
      <c r="E264" s="1"/>
      <c r="F264" s="1"/>
      <c r="G264" s="1"/>
      <c r="H264" s="1"/>
      <c r="I264" s="1"/>
      <c r="J264" s="1"/>
      <c r="K264" s="1"/>
      <c r="L264" s="1"/>
      <c r="M264" s="1"/>
      <c r="N264" s="1"/>
      <c r="O264" s="1"/>
      <c r="P264" s="1"/>
      <c r="Q264" s="1"/>
      <c r="R264" s="1"/>
      <c r="S264" s="1"/>
      <c r="T264" s="1"/>
      <c r="U264" s="1"/>
    </row>
    <row r="265" ht="15.75" customHeight="1">
      <c r="A265" s="1"/>
      <c r="B265" s="1"/>
      <c r="C265" s="1"/>
      <c r="D265" s="2"/>
      <c r="E265" s="1"/>
      <c r="F265" s="1"/>
      <c r="G265" s="1"/>
      <c r="H265" s="1"/>
      <c r="I265" s="1"/>
      <c r="J265" s="1"/>
      <c r="K265" s="1"/>
      <c r="L265" s="1"/>
      <c r="M265" s="1"/>
      <c r="N265" s="1"/>
      <c r="O265" s="1"/>
      <c r="P265" s="1"/>
      <c r="Q265" s="1"/>
      <c r="R265" s="1"/>
      <c r="S265" s="1"/>
      <c r="T265" s="1"/>
      <c r="U265" s="1"/>
    </row>
    <row r="266" ht="15.75" customHeight="1">
      <c r="A266" s="1"/>
      <c r="B266" s="1"/>
      <c r="C266" s="1"/>
      <c r="D266" s="2"/>
      <c r="E266" s="1"/>
      <c r="F266" s="1"/>
      <c r="G266" s="1"/>
      <c r="H266" s="1"/>
      <c r="I266" s="1"/>
      <c r="J266" s="1"/>
      <c r="K266" s="1"/>
      <c r="L266" s="1"/>
      <c r="M266" s="1"/>
      <c r="N266" s="1"/>
      <c r="O266" s="1"/>
      <c r="P266" s="1"/>
      <c r="Q266" s="1"/>
      <c r="R266" s="1"/>
      <c r="S266" s="1"/>
      <c r="T266" s="1"/>
      <c r="U266" s="1"/>
    </row>
    <row r="267" ht="15.75" customHeight="1">
      <c r="A267" s="1"/>
      <c r="B267" s="1"/>
      <c r="C267" s="1"/>
      <c r="D267" s="2"/>
      <c r="E267" s="1"/>
      <c r="F267" s="1"/>
      <c r="G267" s="1"/>
      <c r="H267" s="1"/>
      <c r="I267" s="1"/>
      <c r="J267" s="1"/>
      <c r="K267" s="1"/>
      <c r="L267" s="1"/>
      <c r="M267" s="1"/>
      <c r="N267" s="1"/>
      <c r="O267" s="1"/>
      <c r="P267" s="1"/>
      <c r="Q267" s="1"/>
      <c r="R267" s="1"/>
      <c r="S267" s="1"/>
      <c r="T267" s="1"/>
      <c r="U267" s="1"/>
    </row>
    <row r="268" ht="15.75" customHeight="1">
      <c r="A268" s="1"/>
      <c r="B268" s="1"/>
      <c r="C268" s="1"/>
      <c r="D268" s="2"/>
      <c r="E268" s="1"/>
      <c r="F268" s="1"/>
      <c r="G268" s="1"/>
      <c r="H268" s="1"/>
      <c r="I268" s="1"/>
      <c r="J268" s="1"/>
      <c r="K268" s="1"/>
      <c r="L268" s="1"/>
      <c r="M268" s="1"/>
      <c r="N268" s="1"/>
      <c r="O268" s="1"/>
      <c r="P268" s="1"/>
      <c r="Q268" s="1"/>
      <c r="R268" s="1"/>
      <c r="S268" s="1"/>
      <c r="T268" s="1"/>
      <c r="U268" s="1"/>
    </row>
    <row r="269" ht="15.75" customHeight="1">
      <c r="A269" s="1"/>
      <c r="B269" s="1"/>
      <c r="C269" s="1"/>
      <c r="D269" s="2"/>
      <c r="E269" s="1"/>
      <c r="F269" s="1"/>
      <c r="G269" s="1"/>
      <c r="H269" s="1"/>
      <c r="I269" s="1"/>
      <c r="J269" s="1"/>
      <c r="K269" s="1"/>
      <c r="L269" s="1"/>
      <c r="M269" s="1"/>
      <c r="N269" s="1"/>
      <c r="O269" s="1"/>
      <c r="P269" s="1"/>
      <c r="Q269" s="1"/>
      <c r="R269" s="1"/>
      <c r="S269" s="1"/>
      <c r="T269" s="1"/>
      <c r="U269" s="1"/>
    </row>
    <row r="270" ht="15.75" customHeight="1">
      <c r="A270" s="1"/>
      <c r="B270" s="1"/>
      <c r="C270" s="1"/>
      <c r="D270" s="2"/>
      <c r="E270" s="1"/>
      <c r="F270" s="1"/>
      <c r="G270" s="1"/>
      <c r="H270" s="1"/>
      <c r="I270" s="1"/>
      <c r="J270" s="1"/>
      <c r="K270" s="1"/>
      <c r="L270" s="1"/>
      <c r="M270" s="1"/>
      <c r="N270" s="1"/>
      <c r="O270" s="1"/>
      <c r="P270" s="1"/>
      <c r="Q270" s="1"/>
      <c r="R270" s="1"/>
      <c r="S270" s="1"/>
      <c r="T270" s="1"/>
      <c r="U270" s="1"/>
    </row>
    <row r="271" ht="15.75" customHeight="1">
      <c r="A271" s="1"/>
      <c r="B271" s="1"/>
      <c r="C271" s="1"/>
      <c r="D271" s="2"/>
      <c r="E271" s="1"/>
      <c r="F271" s="1"/>
      <c r="G271" s="1"/>
      <c r="H271" s="1"/>
      <c r="I271" s="1"/>
      <c r="J271" s="1"/>
      <c r="K271" s="1"/>
      <c r="L271" s="1"/>
      <c r="M271" s="1"/>
      <c r="N271" s="1"/>
      <c r="O271" s="1"/>
      <c r="P271" s="1"/>
      <c r="Q271" s="1"/>
      <c r="R271" s="1"/>
      <c r="S271" s="1"/>
      <c r="T271" s="1"/>
      <c r="U271" s="1"/>
    </row>
    <row r="272" ht="15.75" customHeight="1">
      <c r="A272" s="1"/>
      <c r="B272" s="1"/>
      <c r="C272" s="1"/>
      <c r="D272" s="2"/>
      <c r="E272" s="1"/>
      <c r="F272" s="1"/>
      <c r="G272" s="1"/>
      <c r="H272" s="1"/>
      <c r="I272" s="1"/>
      <c r="J272" s="1"/>
      <c r="K272" s="1"/>
      <c r="L272" s="1"/>
      <c r="M272" s="1"/>
      <c r="N272" s="1"/>
      <c r="O272" s="1"/>
      <c r="P272" s="1"/>
      <c r="Q272" s="1"/>
      <c r="R272" s="1"/>
      <c r="S272" s="1"/>
      <c r="T272" s="1"/>
      <c r="U272" s="1"/>
    </row>
    <row r="273" ht="15.75" customHeight="1">
      <c r="A273" s="1"/>
      <c r="B273" s="1"/>
      <c r="C273" s="1"/>
      <c r="D273" s="2"/>
      <c r="E273" s="1"/>
      <c r="F273" s="1"/>
      <c r="G273" s="1"/>
      <c r="H273" s="1"/>
      <c r="I273" s="1"/>
      <c r="J273" s="1"/>
      <c r="K273" s="1"/>
      <c r="L273" s="1"/>
      <c r="M273" s="1"/>
      <c r="N273" s="1"/>
      <c r="O273" s="1"/>
      <c r="P273" s="1"/>
      <c r="Q273" s="1"/>
      <c r="R273" s="1"/>
      <c r="S273" s="1"/>
      <c r="T273" s="1"/>
      <c r="U273" s="1"/>
    </row>
    <row r="274" ht="15.75" customHeight="1">
      <c r="A274" s="1"/>
      <c r="B274" s="1"/>
      <c r="C274" s="1"/>
      <c r="D274" s="2"/>
      <c r="E274" s="1"/>
      <c r="F274" s="1"/>
      <c r="G274" s="1"/>
      <c r="H274" s="1"/>
      <c r="I274" s="1"/>
      <c r="J274" s="1"/>
      <c r="K274" s="1"/>
      <c r="L274" s="1"/>
      <c r="M274" s="1"/>
      <c r="N274" s="1"/>
      <c r="O274" s="1"/>
      <c r="P274" s="1"/>
      <c r="Q274" s="1"/>
      <c r="R274" s="1"/>
      <c r="S274" s="1"/>
      <c r="T274" s="1"/>
      <c r="U274" s="1"/>
    </row>
    <row r="275" ht="15.75" customHeight="1">
      <c r="A275" s="1"/>
      <c r="B275" s="1"/>
      <c r="C275" s="1"/>
      <c r="D275" s="2"/>
      <c r="E275" s="1"/>
      <c r="F275" s="1"/>
      <c r="G275" s="1"/>
      <c r="H275" s="1"/>
      <c r="I275" s="1"/>
      <c r="J275" s="1"/>
      <c r="K275" s="1"/>
      <c r="L275" s="1"/>
      <c r="M275" s="1"/>
      <c r="N275" s="1"/>
      <c r="O275" s="1"/>
      <c r="P275" s="1"/>
      <c r="Q275" s="1"/>
      <c r="R275" s="1"/>
      <c r="S275" s="1"/>
      <c r="T275" s="1"/>
      <c r="U275" s="1"/>
    </row>
    <row r="276" ht="15.75" customHeight="1">
      <c r="A276" s="1"/>
      <c r="B276" s="1"/>
      <c r="C276" s="1"/>
      <c r="D276" s="2"/>
      <c r="E276" s="1"/>
      <c r="F276" s="1"/>
      <c r="G276" s="1"/>
      <c r="H276" s="1"/>
      <c r="I276" s="1"/>
      <c r="J276" s="1"/>
      <c r="K276" s="1"/>
      <c r="L276" s="1"/>
      <c r="M276" s="1"/>
      <c r="N276" s="1"/>
      <c r="O276" s="1"/>
      <c r="P276" s="1"/>
      <c r="Q276" s="1"/>
      <c r="R276" s="1"/>
      <c r="S276" s="1"/>
      <c r="T276" s="1"/>
      <c r="U276" s="1"/>
    </row>
    <row r="277" ht="15.75" customHeight="1">
      <c r="A277" s="1"/>
      <c r="B277" s="1"/>
      <c r="C277" s="1"/>
      <c r="D277" s="2"/>
      <c r="E277" s="1"/>
      <c r="F277" s="1"/>
      <c r="G277" s="1"/>
      <c r="H277" s="1"/>
      <c r="I277" s="1"/>
      <c r="J277" s="1"/>
      <c r="K277" s="1"/>
      <c r="L277" s="1"/>
      <c r="M277" s="1"/>
      <c r="N277" s="1"/>
      <c r="O277" s="1"/>
      <c r="P277" s="1"/>
      <c r="Q277" s="1"/>
      <c r="R277" s="1"/>
      <c r="S277" s="1"/>
      <c r="T277" s="1"/>
      <c r="U277" s="1"/>
    </row>
    <row r="278" ht="15.75" customHeight="1">
      <c r="A278" s="1"/>
      <c r="B278" s="1"/>
      <c r="C278" s="1"/>
      <c r="D278" s="2"/>
      <c r="E278" s="1"/>
      <c r="F278" s="1"/>
      <c r="G278" s="1"/>
      <c r="H278" s="1"/>
      <c r="I278" s="1"/>
      <c r="J278" s="1"/>
      <c r="K278" s="1"/>
      <c r="L278" s="1"/>
      <c r="M278" s="1"/>
      <c r="N278" s="1"/>
      <c r="O278" s="1"/>
      <c r="P278" s="1"/>
      <c r="Q278" s="1"/>
      <c r="R278" s="1"/>
      <c r="S278" s="1"/>
      <c r="T278" s="1"/>
      <c r="U278" s="1"/>
    </row>
    <row r="279" ht="15.75" customHeight="1">
      <c r="A279" s="1"/>
      <c r="B279" s="1"/>
      <c r="C279" s="1"/>
      <c r="D279" s="2"/>
      <c r="E279" s="1"/>
      <c r="F279" s="1"/>
      <c r="G279" s="1"/>
      <c r="H279" s="1"/>
      <c r="I279" s="1"/>
      <c r="J279" s="1"/>
      <c r="K279" s="1"/>
      <c r="L279" s="1"/>
      <c r="M279" s="1"/>
      <c r="N279" s="1"/>
      <c r="O279" s="1"/>
      <c r="P279" s="1"/>
      <c r="Q279" s="1"/>
      <c r="R279" s="1"/>
      <c r="S279" s="1"/>
      <c r="T279" s="1"/>
      <c r="U279" s="1"/>
    </row>
    <row r="280" ht="15.75" customHeight="1">
      <c r="A280" s="1"/>
      <c r="B280" s="1"/>
      <c r="C280" s="1"/>
      <c r="D280" s="2"/>
      <c r="E280" s="1"/>
      <c r="F280" s="1"/>
      <c r="G280" s="1"/>
      <c r="H280" s="1"/>
      <c r="I280" s="1"/>
      <c r="J280" s="1"/>
      <c r="K280" s="1"/>
      <c r="L280" s="1"/>
      <c r="M280" s="1"/>
      <c r="N280" s="1"/>
      <c r="O280" s="1"/>
      <c r="P280" s="1"/>
      <c r="Q280" s="1"/>
      <c r="R280" s="1"/>
      <c r="S280" s="1"/>
      <c r="T280" s="1"/>
      <c r="U280" s="1"/>
    </row>
    <row r="281" ht="15.75" customHeight="1">
      <c r="A281" s="1"/>
      <c r="B281" s="1"/>
      <c r="C281" s="1"/>
      <c r="D281" s="2"/>
      <c r="E281" s="1"/>
      <c r="F281" s="1"/>
      <c r="G281" s="1"/>
      <c r="H281" s="1"/>
      <c r="I281" s="1"/>
      <c r="J281" s="1"/>
      <c r="K281" s="1"/>
      <c r="L281" s="1"/>
      <c r="M281" s="1"/>
      <c r="N281" s="1"/>
      <c r="O281" s="1"/>
      <c r="P281" s="1"/>
      <c r="Q281" s="1"/>
      <c r="R281" s="1"/>
      <c r="S281" s="1"/>
      <c r="T281" s="1"/>
      <c r="U281" s="1"/>
    </row>
    <row r="282" ht="15.75" customHeight="1">
      <c r="A282" s="1"/>
      <c r="B282" s="1"/>
      <c r="C282" s="1"/>
      <c r="D282" s="2"/>
      <c r="E282" s="1"/>
      <c r="F282" s="1"/>
      <c r="G282" s="1"/>
      <c r="H282" s="1"/>
      <c r="I282" s="1"/>
      <c r="J282" s="1"/>
      <c r="K282" s="1"/>
      <c r="L282" s="1"/>
      <c r="M282" s="1"/>
      <c r="N282" s="1"/>
      <c r="O282" s="1"/>
      <c r="P282" s="1"/>
      <c r="Q282" s="1"/>
      <c r="R282" s="1"/>
      <c r="S282" s="1"/>
      <c r="T282" s="1"/>
      <c r="U282" s="1"/>
    </row>
    <row r="283" ht="15.75" customHeight="1">
      <c r="A283" s="1"/>
      <c r="B283" s="1"/>
      <c r="C283" s="1"/>
      <c r="D283" s="2"/>
      <c r="E283" s="1"/>
      <c r="F283" s="1"/>
      <c r="G283" s="1"/>
      <c r="H283" s="1"/>
      <c r="I283" s="1"/>
      <c r="J283" s="1"/>
      <c r="K283" s="1"/>
      <c r="L283" s="1"/>
      <c r="M283" s="1"/>
      <c r="N283" s="1"/>
      <c r="O283" s="1"/>
      <c r="P283" s="1"/>
      <c r="Q283" s="1"/>
      <c r="R283" s="1"/>
      <c r="S283" s="1"/>
      <c r="T283" s="1"/>
      <c r="U283" s="1"/>
    </row>
    <row r="284" ht="15.75" customHeight="1">
      <c r="A284" s="1"/>
      <c r="B284" s="1"/>
      <c r="C284" s="1"/>
      <c r="D284" s="2"/>
      <c r="E284" s="1"/>
      <c r="F284" s="1"/>
      <c r="G284" s="1"/>
      <c r="H284" s="1"/>
      <c r="I284" s="1"/>
      <c r="J284" s="1"/>
      <c r="K284" s="1"/>
      <c r="L284" s="1"/>
      <c r="M284" s="1"/>
      <c r="N284" s="1"/>
      <c r="O284" s="1"/>
      <c r="P284" s="1"/>
      <c r="Q284" s="1"/>
      <c r="R284" s="1"/>
      <c r="S284" s="1"/>
      <c r="T284" s="1"/>
      <c r="U284" s="1"/>
    </row>
    <row r="285" ht="15.75" customHeight="1">
      <c r="A285" s="1"/>
      <c r="B285" s="1"/>
      <c r="C285" s="1"/>
      <c r="D285" s="2"/>
      <c r="E285" s="1"/>
      <c r="F285" s="1"/>
      <c r="G285" s="1"/>
      <c r="H285" s="1"/>
      <c r="I285" s="1"/>
      <c r="J285" s="1"/>
      <c r="K285" s="1"/>
      <c r="L285" s="1"/>
      <c r="M285" s="1"/>
      <c r="N285" s="1"/>
      <c r="O285" s="1"/>
      <c r="P285" s="1"/>
      <c r="Q285" s="1"/>
      <c r="R285" s="1"/>
      <c r="S285" s="1"/>
      <c r="T285" s="1"/>
      <c r="U285" s="1"/>
    </row>
    <row r="286" ht="15.75" customHeight="1">
      <c r="A286" s="1"/>
      <c r="B286" s="1"/>
      <c r="C286" s="1"/>
      <c r="D286" s="2"/>
      <c r="E286" s="1"/>
      <c r="F286" s="1"/>
      <c r="G286" s="1"/>
      <c r="H286" s="1"/>
      <c r="I286" s="1"/>
      <c r="J286" s="1"/>
      <c r="K286" s="1"/>
      <c r="L286" s="1"/>
      <c r="M286" s="1"/>
      <c r="N286" s="1"/>
      <c r="O286" s="1"/>
      <c r="P286" s="1"/>
      <c r="Q286" s="1"/>
      <c r="R286" s="1"/>
      <c r="S286" s="1"/>
      <c r="T286" s="1"/>
      <c r="U286" s="1"/>
    </row>
    <row r="287" ht="15.75" customHeight="1">
      <c r="A287" s="1"/>
      <c r="B287" s="1"/>
      <c r="C287" s="1"/>
      <c r="D287" s="2"/>
      <c r="E287" s="1"/>
      <c r="F287" s="1"/>
      <c r="G287" s="1"/>
      <c r="H287" s="1"/>
      <c r="I287" s="1"/>
      <c r="J287" s="1"/>
      <c r="K287" s="1"/>
      <c r="L287" s="1"/>
      <c r="M287" s="1"/>
      <c r="N287" s="1"/>
      <c r="O287" s="1"/>
      <c r="P287" s="1"/>
      <c r="Q287" s="1"/>
      <c r="R287" s="1"/>
      <c r="S287" s="1"/>
      <c r="T287" s="1"/>
      <c r="U287" s="1"/>
    </row>
    <row r="288" ht="15.75" customHeight="1">
      <c r="A288" s="1"/>
      <c r="B288" s="1"/>
      <c r="C288" s="1"/>
      <c r="D288" s="2"/>
      <c r="E288" s="1"/>
      <c r="F288" s="1"/>
      <c r="G288" s="1"/>
      <c r="H288" s="1"/>
      <c r="I288" s="1"/>
      <c r="J288" s="1"/>
      <c r="K288" s="1"/>
      <c r="L288" s="1"/>
      <c r="M288" s="1"/>
      <c r="N288" s="1"/>
      <c r="O288" s="1"/>
      <c r="P288" s="1"/>
      <c r="Q288" s="1"/>
      <c r="R288" s="1"/>
      <c r="S288" s="1"/>
      <c r="T288" s="1"/>
      <c r="U288" s="1"/>
    </row>
    <row r="289" ht="15.75" customHeight="1">
      <c r="A289" s="1"/>
      <c r="B289" s="1"/>
      <c r="C289" s="1"/>
      <c r="D289" s="2"/>
      <c r="E289" s="1"/>
      <c r="F289" s="1"/>
      <c r="G289" s="1"/>
      <c r="H289" s="1"/>
      <c r="I289" s="1"/>
      <c r="J289" s="1"/>
      <c r="K289" s="1"/>
      <c r="L289" s="1"/>
      <c r="M289" s="1"/>
      <c r="N289" s="1"/>
      <c r="O289" s="1"/>
      <c r="P289" s="1"/>
      <c r="Q289" s="1"/>
      <c r="R289" s="1"/>
      <c r="S289" s="1"/>
      <c r="T289" s="1"/>
      <c r="U289" s="1"/>
    </row>
    <row r="290" ht="15.75" customHeight="1">
      <c r="A290" s="1"/>
      <c r="B290" s="1"/>
      <c r="C290" s="1"/>
      <c r="D290" s="2"/>
      <c r="E290" s="1"/>
      <c r="F290" s="1"/>
      <c r="G290" s="1"/>
      <c r="H290" s="1"/>
      <c r="I290" s="1"/>
      <c r="J290" s="1"/>
      <c r="K290" s="1"/>
      <c r="L290" s="1"/>
      <c r="M290" s="1"/>
      <c r="N290" s="1"/>
      <c r="O290" s="1"/>
      <c r="P290" s="1"/>
      <c r="Q290" s="1"/>
      <c r="R290" s="1"/>
      <c r="S290" s="1"/>
      <c r="T290" s="1"/>
      <c r="U290" s="1"/>
    </row>
    <row r="291" ht="15.75" customHeight="1">
      <c r="A291" s="1"/>
      <c r="B291" s="1"/>
      <c r="C291" s="1"/>
      <c r="D291" s="2"/>
      <c r="E291" s="1"/>
      <c r="F291" s="1"/>
      <c r="G291" s="1"/>
      <c r="H291" s="1"/>
      <c r="I291" s="1"/>
      <c r="J291" s="1"/>
      <c r="K291" s="1"/>
      <c r="L291" s="1"/>
      <c r="M291" s="1"/>
      <c r="N291" s="1"/>
      <c r="O291" s="1"/>
      <c r="P291" s="1"/>
      <c r="Q291" s="1"/>
      <c r="R291" s="1"/>
      <c r="S291" s="1"/>
      <c r="T291" s="1"/>
      <c r="U291" s="1"/>
    </row>
    <row r="292" ht="15.75" customHeight="1">
      <c r="A292" s="1"/>
      <c r="B292" s="1"/>
      <c r="C292" s="1"/>
      <c r="D292" s="2"/>
      <c r="E292" s="1"/>
      <c r="F292" s="1"/>
      <c r="G292" s="1"/>
      <c r="H292" s="1"/>
      <c r="I292" s="1"/>
      <c r="J292" s="1"/>
      <c r="K292" s="1"/>
      <c r="L292" s="1"/>
      <c r="M292" s="1"/>
      <c r="N292" s="1"/>
      <c r="O292" s="1"/>
      <c r="P292" s="1"/>
      <c r="Q292" s="1"/>
      <c r="R292" s="1"/>
      <c r="S292" s="1"/>
      <c r="T292" s="1"/>
      <c r="U292" s="1"/>
    </row>
    <row r="293" ht="15.75" customHeight="1">
      <c r="A293" s="1"/>
      <c r="B293" s="1"/>
      <c r="C293" s="1"/>
      <c r="D293" s="2"/>
      <c r="E293" s="1"/>
      <c r="F293" s="1"/>
      <c r="G293" s="1"/>
      <c r="H293" s="1"/>
      <c r="I293" s="1"/>
      <c r="J293" s="1"/>
      <c r="K293" s="1"/>
      <c r="L293" s="1"/>
      <c r="M293" s="1"/>
      <c r="N293" s="1"/>
      <c r="O293" s="1"/>
      <c r="P293" s="1"/>
      <c r="Q293" s="1"/>
      <c r="R293" s="1"/>
      <c r="S293" s="1"/>
      <c r="T293" s="1"/>
      <c r="U293" s="1"/>
    </row>
    <row r="294" ht="15.75" customHeight="1">
      <c r="A294" s="1"/>
      <c r="B294" s="1"/>
      <c r="C294" s="1"/>
      <c r="D294" s="2"/>
      <c r="E294" s="1"/>
      <c r="F294" s="1"/>
      <c r="G294" s="1"/>
      <c r="H294" s="1"/>
      <c r="I294" s="1"/>
      <c r="J294" s="1"/>
      <c r="K294" s="1"/>
      <c r="L294" s="1"/>
      <c r="M294" s="1"/>
      <c r="N294" s="1"/>
      <c r="O294" s="1"/>
      <c r="P294" s="1"/>
      <c r="Q294" s="1"/>
      <c r="R294" s="1"/>
      <c r="S294" s="1"/>
      <c r="T294" s="1"/>
      <c r="U294" s="1"/>
    </row>
    <row r="295" ht="15.75" customHeight="1">
      <c r="A295" s="1"/>
      <c r="B295" s="1"/>
      <c r="C295" s="1"/>
      <c r="D295" s="2"/>
      <c r="E295" s="1"/>
      <c r="F295" s="1"/>
      <c r="G295" s="1"/>
      <c r="H295" s="1"/>
      <c r="I295" s="1"/>
      <c r="J295" s="1"/>
      <c r="K295" s="1"/>
      <c r="L295" s="1"/>
      <c r="M295" s="1"/>
      <c r="N295" s="1"/>
      <c r="O295" s="1"/>
      <c r="P295" s="1"/>
      <c r="Q295" s="1"/>
      <c r="R295" s="1"/>
      <c r="S295" s="1"/>
      <c r="T295" s="1"/>
      <c r="U295" s="1"/>
    </row>
    <row r="296" ht="15.75" customHeight="1">
      <c r="A296" s="1"/>
      <c r="B296" s="1"/>
      <c r="C296" s="1"/>
      <c r="D296" s="2"/>
      <c r="E296" s="1"/>
      <c r="F296" s="1"/>
      <c r="G296" s="1"/>
      <c r="H296" s="1"/>
      <c r="I296" s="1"/>
      <c r="J296" s="1"/>
      <c r="K296" s="1"/>
      <c r="L296" s="1"/>
      <c r="M296" s="1"/>
      <c r="N296" s="1"/>
      <c r="O296" s="1"/>
      <c r="P296" s="1"/>
      <c r="Q296" s="1"/>
      <c r="R296" s="1"/>
      <c r="S296" s="1"/>
      <c r="T296" s="1"/>
      <c r="U296" s="1"/>
    </row>
    <row r="297" ht="15.75" customHeight="1">
      <c r="A297" s="1"/>
      <c r="B297" s="1"/>
      <c r="C297" s="1"/>
      <c r="D297" s="2"/>
      <c r="E297" s="1"/>
      <c r="F297" s="1"/>
      <c r="G297" s="1"/>
      <c r="H297" s="1"/>
      <c r="I297" s="1"/>
      <c r="J297" s="1"/>
      <c r="K297" s="1"/>
      <c r="L297" s="1"/>
      <c r="M297" s="1"/>
      <c r="N297" s="1"/>
      <c r="O297" s="1"/>
      <c r="P297" s="1"/>
      <c r="Q297" s="1"/>
      <c r="R297" s="1"/>
      <c r="S297" s="1"/>
      <c r="T297" s="1"/>
      <c r="U297" s="1"/>
    </row>
    <row r="298" ht="15.75" customHeight="1">
      <c r="A298" s="1"/>
      <c r="B298" s="1"/>
      <c r="C298" s="1"/>
      <c r="D298" s="2"/>
      <c r="E298" s="1"/>
      <c r="F298" s="1"/>
      <c r="G298" s="1"/>
      <c r="H298" s="1"/>
      <c r="I298" s="1"/>
      <c r="J298" s="1"/>
      <c r="K298" s="1"/>
      <c r="L298" s="1"/>
      <c r="M298" s="1"/>
      <c r="N298" s="1"/>
      <c r="O298" s="1"/>
      <c r="P298" s="1"/>
      <c r="Q298" s="1"/>
      <c r="R298" s="1"/>
      <c r="S298" s="1"/>
      <c r="T298" s="1"/>
      <c r="U298" s="1"/>
    </row>
    <row r="299" ht="15.75" customHeight="1">
      <c r="A299" s="1"/>
      <c r="B299" s="1"/>
      <c r="C299" s="1"/>
      <c r="D299" s="2"/>
      <c r="E299" s="1"/>
      <c r="F299" s="1"/>
      <c r="G299" s="1"/>
      <c r="H299" s="1"/>
      <c r="I299" s="1"/>
      <c r="J299" s="1"/>
      <c r="K299" s="1"/>
      <c r="L299" s="1"/>
      <c r="M299" s="1"/>
      <c r="N299" s="1"/>
      <c r="O299" s="1"/>
      <c r="P299" s="1"/>
      <c r="Q299" s="1"/>
      <c r="R299" s="1"/>
      <c r="S299" s="1"/>
      <c r="T299" s="1"/>
      <c r="U299" s="1"/>
    </row>
    <row r="300" ht="15.75" customHeight="1">
      <c r="A300" s="1"/>
      <c r="B300" s="1"/>
      <c r="C300" s="1"/>
      <c r="D300" s="2"/>
      <c r="E300" s="1"/>
      <c r="F300" s="1"/>
      <c r="G300" s="1"/>
      <c r="H300" s="1"/>
      <c r="I300" s="1"/>
      <c r="J300" s="1"/>
      <c r="K300" s="1"/>
      <c r="L300" s="1"/>
      <c r="M300" s="1"/>
      <c r="N300" s="1"/>
      <c r="O300" s="1"/>
      <c r="P300" s="1"/>
      <c r="Q300" s="1"/>
      <c r="R300" s="1"/>
      <c r="S300" s="1"/>
      <c r="T300" s="1"/>
      <c r="U300" s="1"/>
    </row>
    <row r="301" ht="15.75" customHeight="1">
      <c r="A301" s="1"/>
      <c r="B301" s="1"/>
      <c r="C301" s="1"/>
      <c r="D301" s="2"/>
      <c r="E301" s="1"/>
      <c r="F301" s="1"/>
      <c r="G301" s="1"/>
      <c r="H301" s="1"/>
      <c r="I301" s="1"/>
      <c r="J301" s="1"/>
      <c r="K301" s="1"/>
      <c r="L301" s="1"/>
      <c r="M301" s="1"/>
      <c r="N301" s="1"/>
      <c r="O301" s="1"/>
      <c r="P301" s="1"/>
      <c r="Q301" s="1"/>
      <c r="R301" s="1"/>
      <c r="S301" s="1"/>
      <c r="T301" s="1"/>
      <c r="U301" s="1"/>
    </row>
    <row r="302" ht="15.75" customHeight="1">
      <c r="A302" s="1"/>
      <c r="B302" s="1"/>
      <c r="C302" s="1"/>
      <c r="D302" s="2"/>
      <c r="E302" s="1"/>
      <c r="F302" s="1"/>
      <c r="G302" s="1"/>
      <c r="H302" s="1"/>
      <c r="I302" s="1"/>
      <c r="J302" s="1"/>
      <c r="K302" s="1"/>
      <c r="L302" s="1"/>
      <c r="M302" s="1"/>
      <c r="N302" s="1"/>
      <c r="O302" s="1"/>
      <c r="P302" s="1"/>
      <c r="Q302" s="1"/>
      <c r="R302" s="1"/>
      <c r="S302" s="1"/>
      <c r="T302" s="1"/>
      <c r="U302" s="1"/>
    </row>
    <row r="303" ht="15.75" customHeight="1">
      <c r="A303" s="1"/>
      <c r="B303" s="1"/>
      <c r="C303" s="1"/>
      <c r="D303" s="2"/>
      <c r="E303" s="1"/>
      <c r="F303" s="1"/>
      <c r="G303" s="1"/>
      <c r="H303" s="1"/>
      <c r="I303" s="1"/>
      <c r="J303" s="1"/>
      <c r="K303" s="1"/>
      <c r="L303" s="1"/>
      <c r="M303" s="1"/>
      <c r="N303" s="1"/>
      <c r="O303" s="1"/>
      <c r="P303" s="1"/>
      <c r="Q303" s="1"/>
      <c r="R303" s="1"/>
      <c r="S303" s="1"/>
      <c r="T303" s="1"/>
      <c r="U303" s="1"/>
    </row>
    <row r="304" ht="15.75" customHeight="1">
      <c r="A304" s="1"/>
      <c r="B304" s="1"/>
      <c r="C304" s="1"/>
      <c r="D304" s="2"/>
      <c r="E304" s="1"/>
      <c r="F304" s="1"/>
      <c r="G304" s="1"/>
      <c r="H304" s="1"/>
      <c r="I304" s="1"/>
      <c r="J304" s="1"/>
      <c r="K304" s="1"/>
      <c r="L304" s="1"/>
      <c r="M304" s="1"/>
      <c r="N304" s="1"/>
      <c r="O304" s="1"/>
      <c r="P304" s="1"/>
      <c r="Q304" s="1"/>
      <c r="R304" s="1"/>
      <c r="S304" s="1"/>
      <c r="T304" s="1"/>
      <c r="U304" s="1"/>
    </row>
    <row r="305" ht="15.75" customHeight="1">
      <c r="A305" s="1"/>
      <c r="B305" s="1"/>
      <c r="C305" s="1"/>
      <c r="D305" s="2"/>
      <c r="E305" s="1"/>
      <c r="F305" s="1"/>
      <c r="G305" s="1"/>
      <c r="H305" s="1"/>
      <c r="I305" s="1"/>
      <c r="J305" s="1"/>
      <c r="K305" s="1"/>
      <c r="L305" s="1"/>
      <c r="M305" s="1"/>
      <c r="N305" s="1"/>
      <c r="O305" s="1"/>
      <c r="P305" s="1"/>
      <c r="Q305" s="1"/>
      <c r="R305" s="1"/>
      <c r="S305" s="1"/>
      <c r="T305" s="1"/>
      <c r="U305" s="1"/>
    </row>
    <row r="306" ht="15.75" customHeight="1">
      <c r="A306" s="1"/>
      <c r="B306" s="1"/>
      <c r="C306" s="1"/>
      <c r="D306" s="2"/>
      <c r="E306" s="1"/>
      <c r="F306" s="1"/>
      <c r="G306" s="1"/>
      <c r="H306" s="1"/>
      <c r="I306" s="1"/>
      <c r="J306" s="1"/>
      <c r="K306" s="1"/>
      <c r="L306" s="1"/>
      <c r="M306" s="1"/>
      <c r="N306" s="1"/>
      <c r="O306" s="1"/>
      <c r="P306" s="1"/>
      <c r="Q306" s="1"/>
      <c r="R306" s="1"/>
      <c r="S306" s="1"/>
      <c r="T306" s="1"/>
      <c r="U306" s="1"/>
    </row>
    <row r="307" ht="15.75" customHeight="1">
      <c r="A307" s="1"/>
      <c r="B307" s="1"/>
      <c r="C307" s="1"/>
      <c r="D307" s="2"/>
      <c r="E307" s="1"/>
      <c r="F307" s="1"/>
      <c r="G307" s="1"/>
      <c r="H307" s="1"/>
      <c r="I307" s="1"/>
      <c r="J307" s="1"/>
      <c r="K307" s="1"/>
      <c r="L307" s="1"/>
      <c r="M307" s="1"/>
      <c r="N307" s="1"/>
      <c r="O307" s="1"/>
      <c r="P307" s="1"/>
      <c r="Q307" s="1"/>
      <c r="R307" s="1"/>
      <c r="S307" s="1"/>
      <c r="T307" s="1"/>
      <c r="U307" s="1"/>
    </row>
    <row r="308" ht="15.75" customHeight="1">
      <c r="A308" s="1"/>
      <c r="B308" s="1"/>
      <c r="C308" s="1"/>
      <c r="D308" s="2"/>
      <c r="E308" s="1"/>
      <c r="F308" s="1"/>
      <c r="G308" s="1"/>
      <c r="H308" s="1"/>
      <c r="I308" s="1"/>
      <c r="J308" s="1"/>
      <c r="K308" s="1"/>
      <c r="L308" s="1"/>
      <c r="M308" s="1"/>
      <c r="N308" s="1"/>
      <c r="O308" s="1"/>
      <c r="P308" s="1"/>
      <c r="Q308" s="1"/>
      <c r="R308" s="1"/>
      <c r="S308" s="1"/>
      <c r="T308" s="1"/>
      <c r="U308" s="1"/>
    </row>
    <row r="309" ht="15.75" customHeight="1">
      <c r="A309" s="1"/>
      <c r="B309" s="1"/>
      <c r="C309" s="1"/>
      <c r="D309" s="2"/>
      <c r="E309" s="1"/>
      <c r="F309" s="1"/>
      <c r="G309" s="1"/>
      <c r="H309" s="1"/>
      <c r="I309" s="1"/>
      <c r="J309" s="1"/>
      <c r="K309" s="1"/>
      <c r="L309" s="1"/>
      <c r="M309" s="1"/>
      <c r="N309" s="1"/>
      <c r="O309" s="1"/>
      <c r="P309" s="1"/>
      <c r="Q309" s="1"/>
      <c r="R309" s="1"/>
      <c r="S309" s="1"/>
      <c r="T309" s="1"/>
      <c r="U309" s="1"/>
    </row>
    <row r="310" ht="15.75" customHeight="1">
      <c r="A310" s="1"/>
      <c r="B310" s="1"/>
      <c r="C310" s="1"/>
      <c r="D310" s="2"/>
      <c r="E310" s="1"/>
      <c r="F310" s="1"/>
      <c r="G310" s="1"/>
      <c r="H310" s="1"/>
      <c r="I310" s="1"/>
      <c r="J310" s="1"/>
      <c r="K310" s="1"/>
      <c r="L310" s="1"/>
      <c r="M310" s="1"/>
      <c r="N310" s="1"/>
      <c r="O310" s="1"/>
      <c r="P310" s="1"/>
      <c r="Q310" s="1"/>
      <c r="R310" s="1"/>
      <c r="S310" s="1"/>
      <c r="T310" s="1"/>
      <c r="U310" s="1"/>
    </row>
    <row r="311" ht="15.75" customHeight="1">
      <c r="A311" s="1"/>
      <c r="B311" s="1"/>
      <c r="C311" s="1"/>
      <c r="D311" s="2"/>
      <c r="E311" s="1"/>
      <c r="F311" s="1"/>
      <c r="G311" s="1"/>
      <c r="H311" s="1"/>
      <c r="I311" s="1"/>
      <c r="J311" s="1"/>
      <c r="K311" s="1"/>
      <c r="L311" s="1"/>
      <c r="M311" s="1"/>
      <c r="N311" s="1"/>
      <c r="O311" s="1"/>
      <c r="P311" s="1"/>
      <c r="Q311" s="1"/>
      <c r="R311" s="1"/>
      <c r="S311" s="1"/>
      <c r="T311" s="1"/>
      <c r="U311" s="1"/>
    </row>
    <row r="312" ht="15.75" customHeight="1">
      <c r="A312" s="1"/>
      <c r="B312" s="1"/>
      <c r="C312" s="1"/>
      <c r="D312" s="2"/>
      <c r="E312" s="1"/>
      <c r="F312" s="1"/>
      <c r="G312" s="1"/>
      <c r="H312" s="1"/>
      <c r="I312" s="1"/>
      <c r="J312" s="1"/>
      <c r="K312" s="1"/>
      <c r="L312" s="1"/>
      <c r="M312" s="1"/>
      <c r="N312" s="1"/>
      <c r="O312" s="1"/>
      <c r="P312" s="1"/>
      <c r="Q312" s="1"/>
      <c r="R312" s="1"/>
      <c r="S312" s="1"/>
      <c r="T312" s="1"/>
      <c r="U312" s="1"/>
    </row>
    <row r="313" ht="15.75" customHeight="1">
      <c r="A313" s="1"/>
      <c r="B313" s="1"/>
      <c r="C313" s="1"/>
      <c r="D313" s="2"/>
      <c r="E313" s="1"/>
      <c r="F313" s="1"/>
      <c r="G313" s="1"/>
      <c r="H313" s="1"/>
      <c r="I313" s="1"/>
      <c r="J313" s="1"/>
      <c r="K313" s="1"/>
      <c r="L313" s="1"/>
      <c r="M313" s="1"/>
      <c r="N313" s="1"/>
      <c r="O313" s="1"/>
      <c r="P313" s="1"/>
      <c r="Q313" s="1"/>
      <c r="R313" s="1"/>
      <c r="S313" s="1"/>
      <c r="T313" s="1"/>
      <c r="U313" s="1"/>
    </row>
    <row r="314" ht="15.75" customHeight="1">
      <c r="A314" s="1"/>
      <c r="B314" s="1"/>
      <c r="C314" s="1"/>
      <c r="D314" s="2"/>
      <c r="E314" s="1"/>
      <c r="F314" s="1"/>
      <c r="G314" s="1"/>
      <c r="H314" s="1"/>
      <c r="I314" s="1"/>
      <c r="J314" s="1"/>
      <c r="K314" s="1"/>
      <c r="L314" s="1"/>
      <c r="M314" s="1"/>
      <c r="N314" s="1"/>
      <c r="O314" s="1"/>
      <c r="P314" s="1"/>
      <c r="Q314" s="1"/>
      <c r="R314" s="1"/>
      <c r="S314" s="1"/>
      <c r="T314" s="1"/>
      <c r="U314" s="1"/>
    </row>
    <row r="315" ht="15.75" customHeight="1">
      <c r="A315" s="1"/>
      <c r="B315" s="1"/>
      <c r="C315" s="1"/>
      <c r="D315" s="2"/>
      <c r="E315" s="1"/>
      <c r="F315" s="1"/>
      <c r="G315" s="1"/>
      <c r="H315" s="1"/>
      <c r="I315" s="1"/>
      <c r="J315" s="1"/>
      <c r="K315" s="1"/>
      <c r="L315" s="1"/>
      <c r="M315" s="1"/>
      <c r="N315" s="1"/>
      <c r="O315" s="1"/>
      <c r="P315" s="1"/>
      <c r="Q315" s="1"/>
      <c r="R315" s="1"/>
      <c r="S315" s="1"/>
      <c r="T315" s="1"/>
      <c r="U315" s="1"/>
    </row>
    <row r="316" ht="15.75" customHeight="1">
      <c r="A316" s="1"/>
      <c r="B316" s="1"/>
      <c r="C316" s="1"/>
      <c r="D316" s="2"/>
      <c r="E316" s="1"/>
      <c r="F316" s="1"/>
      <c r="G316" s="1"/>
      <c r="H316" s="1"/>
      <c r="I316" s="1"/>
      <c r="J316" s="1"/>
      <c r="K316" s="1"/>
      <c r="L316" s="1"/>
      <c r="M316" s="1"/>
      <c r="N316" s="1"/>
      <c r="O316" s="1"/>
      <c r="P316" s="1"/>
      <c r="Q316" s="1"/>
      <c r="R316" s="1"/>
      <c r="S316" s="1"/>
      <c r="T316" s="1"/>
      <c r="U316" s="1"/>
    </row>
    <row r="317" ht="15.75" customHeight="1">
      <c r="A317" s="1"/>
      <c r="B317" s="1"/>
      <c r="C317" s="1"/>
      <c r="D317" s="2"/>
      <c r="E317" s="1"/>
      <c r="F317" s="1"/>
      <c r="G317" s="1"/>
      <c r="H317" s="1"/>
      <c r="I317" s="1"/>
      <c r="J317" s="1"/>
      <c r="K317" s="1"/>
      <c r="L317" s="1"/>
      <c r="M317" s="1"/>
      <c r="N317" s="1"/>
      <c r="O317" s="1"/>
      <c r="P317" s="1"/>
      <c r="Q317" s="1"/>
      <c r="R317" s="1"/>
      <c r="S317" s="1"/>
      <c r="T317" s="1"/>
      <c r="U317" s="1"/>
    </row>
    <row r="318" ht="15.75" customHeight="1">
      <c r="A318" s="1"/>
      <c r="B318" s="1"/>
      <c r="C318" s="1"/>
      <c r="D318" s="2"/>
      <c r="E318" s="1"/>
      <c r="F318" s="1"/>
      <c r="G318" s="1"/>
      <c r="H318" s="1"/>
      <c r="I318" s="1"/>
      <c r="J318" s="1"/>
      <c r="K318" s="1"/>
      <c r="L318" s="1"/>
      <c r="M318" s="1"/>
      <c r="N318" s="1"/>
      <c r="O318" s="1"/>
      <c r="P318" s="1"/>
      <c r="Q318" s="1"/>
      <c r="R318" s="1"/>
      <c r="S318" s="1"/>
      <c r="T318" s="1"/>
      <c r="U318" s="1"/>
    </row>
    <row r="319" ht="15.75" customHeight="1">
      <c r="A319" s="1"/>
      <c r="B319" s="1"/>
      <c r="C319" s="1"/>
      <c r="D319" s="2"/>
      <c r="E319" s="1"/>
      <c r="F319" s="1"/>
      <c r="G319" s="1"/>
      <c r="H319" s="1"/>
      <c r="I319" s="1"/>
      <c r="J319" s="1"/>
      <c r="K319" s="1"/>
      <c r="L319" s="1"/>
      <c r="M319" s="1"/>
      <c r="N319" s="1"/>
      <c r="O319" s="1"/>
      <c r="P319" s="1"/>
      <c r="Q319" s="1"/>
      <c r="R319" s="1"/>
      <c r="S319" s="1"/>
      <c r="T319" s="1"/>
      <c r="U319" s="1"/>
    </row>
    <row r="320" ht="15.75" customHeight="1">
      <c r="A320" s="1"/>
      <c r="B320" s="1"/>
      <c r="C320" s="1"/>
      <c r="D320" s="2"/>
      <c r="E320" s="1"/>
      <c r="F320" s="1"/>
      <c r="G320" s="1"/>
      <c r="H320" s="1"/>
      <c r="I320" s="1"/>
      <c r="J320" s="1"/>
      <c r="K320" s="1"/>
      <c r="L320" s="1"/>
      <c r="M320" s="1"/>
      <c r="N320" s="1"/>
      <c r="O320" s="1"/>
      <c r="P320" s="1"/>
      <c r="Q320" s="1"/>
      <c r="R320" s="1"/>
      <c r="S320" s="1"/>
      <c r="T320" s="1"/>
      <c r="U320" s="1"/>
    </row>
    <row r="321" ht="15.75" customHeight="1">
      <c r="A321" s="1"/>
      <c r="B321" s="1"/>
      <c r="C321" s="1"/>
      <c r="D321" s="2"/>
      <c r="E321" s="1"/>
      <c r="F321" s="1"/>
      <c r="G321" s="1"/>
      <c r="H321" s="1"/>
      <c r="I321" s="1"/>
      <c r="J321" s="1"/>
      <c r="K321" s="1"/>
      <c r="L321" s="1"/>
      <c r="M321" s="1"/>
      <c r="N321" s="1"/>
      <c r="O321" s="1"/>
      <c r="P321" s="1"/>
      <c r="Q321" s="1"/>
      <c r="R321" s="1"/>
      <c r="S321" s="1"/>
      <c r="T321" s="1"/>
      <c r="U321" s="1"/>
    </row>
    <row r="322" ht="15.75" customHeight="1">
      <c r="A322" s="1"/>
      <c r="B322" s="1"/>
      <c r="C322" s="1"/>
      <c r="D322" s="2"/>
      <c r="E322" s="1"/>
      <c r="F322" s="1"/>
      <c r="G322" s="1"/>
      <c r="H322" s="1"/>
      <c r="I322" s="1"/>
      <c r="J322" s="1"/>
      <c r="K322" s="1"/>
      <c r="L322" s="1"/>
      <c r="M322" s="1"/>
      <c r="N322" s="1"/>
      <c r="O322" s="1"/>
      <c r="P322" s="1"/>
      <c r="Q322" s="1"/>
      <c r="R322" s="1"/>
      <c r="S322" s="1"/>
      <c r="T322" s="1"/>
      <c r="U322" s="1"/>
    </row>
    <row r="323" ht="15.75" customHeight="1">
      <c r="A323" s="1"/>
      <c r="B323" s="1"/>
      <c r="C323" s="1"/>
      <c r="D323" s="2"/>
      <c r="E323" s="1"/>
      <c r="F323" s="1"/>
      <c r="G323" s="1"/>
      <c r="H323" s="1"/>
      <c r="I323" s="1"/>
      <c r="J323" s="1"/>
      <c r="K323" s="1"/>
      <c r="L323" s="1"/>
      <c r="M323" s="1"/>
      <c r="N323" s="1"/>
      <c r="O323" s="1"/>
      <c r="P323" s="1"/>
      <c r="Q323" s="1"/>
      <c r="R323" s="1"/>
      <c r="S323" s="1"/>
      <c r="T323" s="1"/>
      <c r="U323" s="1"/>
    </row>
    <row r="324" ht="15.75" customHeight="1">
      <c r="A324" s="1"/>
      <c r="B324" s="1"/>
      <c r="C324" s="1"/>
      <c r="D324" s="2"/>
      <c r="E324" s="1"/>
      <c r="F324" s="1"/>
      <c r="G324" s="1"/>
      <c r="H324" s="1"/>
      <c r="I324" s="1"/>
      <c r="J324" s="1"/>
      <c r="K324" s="1"/>
      <c r="L324" s="1"/>
      <c r="M324" s="1"/>
      <c r="N324" s="1"/>
      <c r="O324" s="1"/>
      <c r="P324" s="1"/>
      <c r="Q324" s="1"/>
      <c r="R324" s="1"/>
      <c r="S324" s="1"/>
      <c r="T324" s="1"/>
      <c r="U324" s="1"/>
    </row>
    <row r="325" ht="15.75" customHeight="1">
      <c r="A325" s="1"/>
      <c r="B325" s="1"/>
      <c r="C325" s="1"/>
      <c r="D325" s="2"/>
      <c r="E325" s="1"/>
      <c r="F325" s="1"/>
      <c r="G325" s="1"/>
      <c r="H325" s="1"/>
      <c r="I325" s="1"/>
      <c r="J325" s="1"/>
      <c r="K325" s="1"/>
      <c r="L325" s="1"/>
      <c r="M325" s="1"/>
      <c r="N325" s="1"/>
      <c r="O325" s="1"/>
      <c r="P325" s="1"/>
      <c r="Q325" s="1"/>
      <c r="R325" s="1"/>
      <c r="S325" s="1"/>
      <c r="T325" s="1"/>
      <c r="U325" s="1"/>
    </row>
    <row r="326" ht="15.75" customHeight="1">
      <c r="A326" s="1"/>
      <c r="B326" s="1"/>
      <c r="C326" s="1"/>
      <c r="D326" s="2"/>
      <c r="E326" s="1"/>
      <c r="F326" s="1"/>
      <c r="G326" s="1"/>
      <c r="H326" s="1"/>
      <c r="I326" s="1"/>
      <c r="J326" s="1"/>
      <c r="K326" s="1"/>
      <c r="L326" s="1"/>
      <c r="M326" s="1"/>
      <c r="N326" s="1"/>
      <c r="O326" s="1"/>
      <c r="P326" s="1"/>
      <c r="Q326" s="1"/>
      <c r="R326" s="1"/>
      <c r="S326" s="1"/>
      <c r="T326" s="1"/>
      <c r="U326" s="1"/>
    </row>
    <row r="327" ht="15.75" customHeight="1">
      <c r="A327" s="1"/>
      <c r="B327" s="1"/>
      <c r="C327" s="1"/>
      <c r="D327" s="2"/>
      <c r="E327" s="1"/>
      <c r="F327" s="1"/>
      <c r="G327" s="1"/>
      <c r="H327" s="1"/>
      <c r="I327" s="1"/>
      <c r="J327" s="1"/>
      <c r="K327" s="1"/>
      <c r="L327" s="1"/>
      <c r="M327" s="1"/>
      <c r="N327" s="1"/>
      <c r="O327" s="1"/>
      <c r="P327" s="1"/>
      <c r="Q327" s="1"/>
      <c r="R327" s="1"/>
      <c r="S327" s="1"/>
      <c r="T327" s="1"/>
      <c r="U327" s="1"/>
    </row>
    <row r="328" ht="15.75" customHeight="1">
      <c r="A328" s="1"/>
      <c r="B328" s="1"/>
      <c r="C328" s="1"/>
      <c r="D328" s="2"/>
      <c r="E328" s="1"/>
      <c r="F328" s="1"/>
      <c r="G328" s="1"/>
      <c r="H328" s="1"/>
      <c r="I328" s="1"/>
      <c r="J328" s="1"/>
      <c r="K328" s="1"/>
      <c r="L328" s="1"/>
      <c r="M328" s="1"/>
      <c r="N328" s="1"/>
      <c r="O328" s="1"/>
      <c r="P328" s="1"/>
      <c r="Q328" s="1"/>
      <c r="R328" s="1"/>
      <c r="S328" s="1"/>
      <c r="T328" s="1"/>
      <c r="U328" s="1"/>
    </row>
    <row r="329" ht="15.75" customHeight="1">
      <c r="A329" s="1"/>
      <c r="B329" s="1"/>
      <c r="C329" s="1"/>
      <c r="D329" s="2"/>
      <c r="E329" s="1"/>
      <c r="F329" s="1"/>
      <c r="G329" s="1"/>
      <c r="H329" s="1"/>
      <c r="I329" s="1"/>
      <c r="J329" s="1"/>
      <c r="K329" s="1"/>
      <c r="L329" s="1"/>
      <c r="M329" s="1"/>
      <c r="N329" s="1"/>
      <c r="O329" s="1"/>
      <c r="P329" s="1"/>
      <c r="Q329" s="1"/>
      <c r="R329" s="1"/>
      <c r="S329" s="1"/>
      <c r="T329" s="1"/>
      <c r="U329" s="1"/>
    </row>
    <row r="330" ht="15.75" customHeight="1">
      <c r="A330" s="1"/>
      <c r="B330" s="1"/>
      <c r="C330" s="1"/>
      <c r="D330" s="2"/>
      <c r="E330" s="1"/>
      <c r="F330" s="1"/>
      <c r="G330" s="1"/>
      <c r="H330" s="1"/>
      <c r="I330" s="1"/>
      <c r="J330" s="1"/>
      <c r="K330" s="1"/>
      <c r="L330" s="1"/>
      <c r="M330" s="1"/>
      <c r="N330" s="1"/>
      <c r="O330" s="1"/>
      <c r="P330" s="1"/>
      <c r="Q330" s="1"/>
      <c r="R330" s="1"/>
      <c r="S330" s="1"/>
      <c r="T330" s="1"/>
      <c r="U330" s="1"/>
    </row>
    <row r="331" ht="15.75" customHeight="1">
      <c r="A331" s="1"/>
      <c r="B331" s="1"/>
      <c r="C331" s="1"/>
      <c r="D331" s="2"/>
      <c r="E331" s="1"/>
      <c r="F331" s="1"/>
      <c r="G331" s="1"/>
      <c r="H331" s="1"/>
      <c r="I331" s="1"/>
      <c r="J331" s="1"/>
      <c r="K331" s="1"/>
      <c r="L331" s="1"/>
      <c r="M331" s="1"/>
      <c r="N331" s="1"/>
      <c r="O331" s="1"/>
      <c r="P331" s="1"/>
      <c r="Q331" s="1"/>
      <c r="R331" s="1"/>
      <c r="S331" s="1"/>
      <c r="T331" s="1"/>
      <c r="U331" s="1"/>
    </row>
    <row r="332" ht="15.75" customHeight="1">
      <c r="A332" s="1"/>
      <c r="B332" s="1"/>
      <c r="C332" s="1"/>
      <c r="D332" s="2"/>
      <c r="E332" s="1"/>
      <c r="F332" s="1"/>
      <c r="G332" s="1"/>
      <c r="H332" s="1"/>
      <c r="I332" s="1"/>
      <c r="J332" s="1"/>
      <c r="K332" s="1"/>
      <c r="L332" s="1"/>
      <c r="M332" s="1"/>
      <c r="N332" s="1"/>
      <c r="O332" s="1"/>
      <c r="P332" s="1"/>
      <c r="Q332" s="1"/>
      <c r="R332" s="1"/>
      <c r="S332" s="1"/>
      <c r="T332" s="1"/>
      <c r="U332" s="1"/>
    </row>
    <row r="333" ht="15.75" customHeight="1">
      <c r="A333" s="1"/>
      <c r="B333" s="1"/>
      <c r="C333" s="1"/>
      <c r="D333" s="2"/>
      <c r="E333" s="1"/>
      <c r="F333" s="1"/>
      <c r="G333" s="1"/>
      <c r="H333" s="1"/>
      <c r="I333" s="1"/>
      <c r="J333" s="1"/>
      <c r="K333" s="1"/>
      <c r="L333" s="1"/>
      <c r="M333" s="1"/>
      <c r="N333" s="1"/>
      <c r="O333" s="1"/>
      <c r="P333" s="1"/>
      <c r="Q333" s="1"/>
      <c r="R333" s="1"/>
      <c r="S333" s="1"/>
      <c r="T333" s="1"/>
      <c r="U333" s="1"/>
    </row>
    <row r="334" ht="15.75" customHeight="1">
      <c r="A334" s="1"/>
      <c r="B334" s="1"/>
      <c r="C334" s="1"/>
      <c r="D334" s="2"/>
      <c r="E334" s="1"/>
      <c r="F334" s="1"/>
      <c r="G334" s="1"/>
      <c r="H334" s="1"/>
      <c r="I334" s="1"/>
      <c r="J334" s="1"/>
      <c r="K334" s="1"/>
      <c r="L334" s="1"/>
      <c r="M334" s="1"/>
      <c r="N334" s="1"/>
      <c r="O334" s="1"/>
      <c r="P334" s="1"/>
      <c r="Q334" s="1"/>
      <c r="R334" s="1"/>
      <c r="S334" s="1"/>
      <c r="T334" s="1"/>
      <c r="U334" s="1"/>
    </row>
    <row r="335" ht="15.75" customHeight="1">
      <c r="A335" s="1"/>
      <c r="B335" s="1"/>
      <c r="C335" s="1"/>
      <c r="D335" s="2"/>
      <c r="E335" s="1"/>
      <c r="F335" s="1"/>
      <c r="G335" s="1"/>
      <c r="H335" s="1"/>
      <c r="I335" s="1"/>
      <c r="J335" s="1"/>
      <c r="K335" s="1"/>
      <c r="L335" s="1"/>
      <c r="M335" s="1"/>
      <c r="N335" s="1"/>
      <c r="O335" s="1"/>
      <c r="P335" s="1"/>
      <c r="Q335" s="1"/>
      <c r="R335" s="1"/>
      <c r="S335" s="1"/>
      <c r="T335" s="1"/>
      <c r="U335" s="1"/>
    </row>
    <row r="336" ht="15.75" customHeight="1">
      <c r="A336" s="1"/>
      <c r="B336" s="1"/>
      <c r="C336" s="1"/>
      <c r="D336" s="2"/>
      <c r="E336" s="1"/>
      <c r="F336" s="1"/>
      <c r="G336" s="1"/>
      <c r="H336" s="1"/>
      <c r="I336" s="1"/>
      <c r="J336" s="1"/>
      <c r="K336" s="1"/>
      <c r="L336" s="1"/>
      <c r="M336" s="1"/>
      <c r="N336" s="1"/>
      <c r="O336" s="1"/>
      <c r="P336" s="1"/>
      <c r="Q336" s="1"/>
      <c r="R336" s="1"/>
      <c r="S336" s="1"/>
      <c r="T336" s="1"/>
      <c r="U336" s="1"/>
    </row>
    <row r="337" ht="15.75" customHeight="1">
      <c r="A337" s="1"/>
      <c r="B337" s="1"/>
      <c r="C337" s="1"/>
      <c r="D337" s="2"/>
      <c r="E337" s="1"/>
      <c r="F337" s="1"/>
      <c r="G337" s="1"/>
      <c r="H337" s="1"/>
      <c r="I337" s="1"/>
      <c r="J337" s="1"/>
      <c r="K337" s="1"/>
      <c r="L337" s="1"/>
      <c r="M337" s="1"/>
      <c r="N337" s="1"/>
      <c r="O337" s="1"/>
      <c r="P337" s="1"/>
      <c r="Q337" s="1"/>
      <c r="R337" s="1"/>
      <c r="S337" s="1"/>
      <c r="T337" s="1"/>
      <c r="U337" s="1"/>
    </row>
    <row r="338" ht="15.75" customHeight="1">
      <c r="A338" s="1"/>
      <c r="B338" s="1"/>
      <c r="C338" s="1"/>
      <c r="D338" s="2"/>
      <c r="E338" s="1"/>
      <c r="F338" s="1"/>
      <c r="G338" s="1"/>
      <c r="H338" s="1"/>
      <c r="I338" s="1"/>
      <c r="J338" s="1"/>
      <c r="K338" s="1"/>
      <c r="L338" s="1"/>
      <c r="M338" s="1"/>
      <c r="N338" s="1"/>
      <c r="O338" s="1"/>
      <c r="P338" s="1"/>
      <c r="Q338" s="1"/>
      <c r="R338" s="1"/>
      <c r="S338" s="1"/>
      <c r="T338" s="1"/>
      <c r="U338" s="1"/>
    </row>
    <row r="339" ht="15.75" customHeight="1">
      <c r="A339" s="1"/>
      <c r="B339" s="1"/>
      <c r="C339" s="1"/>
      <c r="D339" s="2"/>
      <c r="E339" s="1"/>
      <c r="F339" s="1"/>
      <c r="G339" s="1"/>
      <c r="H339" s="1"/>
      <c r="I339" s="1"/>
      <c r="J339" s="1"/>
      <c r="K339" s="1"/>
      <c r="L339" s="1"/>
      <c r="M339" s="1"/>
      <c r="N339" s="1"/>
      <c r="O339" s="1"/>
      <c r="P339" s="1"/>
      <c r="Q339" s="1"/>
      <c r="R339" s="1"/>
      <c r="S339" s="1"/>
      <c r="T339" s="1"/>
      <c r="U339" s="1"/>
    </row>
    <row r="340" ht="15.75" customHeight="1">
      <c r="A340" s="1"/>
      <c r="B340" s="1"/>
      <c r="C340" s="1"/>
      <c r="D340" s="2"/>
      <c r="E340" s="1"/>
      <c r="F340" s="1"/>
      <c r="G340" s="1"/>
      <c r="H340" s="1"/>
      <c r="I340" s="1"/>
      <c r="J340" s="1"/>
      <c r="K340" s="1"/>
      <c r="L340" s="1"/>
      <c r="M340" s="1"/>
      <c r="N340" s="1"/>
      <c r="O340" s="1"/>
      <c r="P340" s="1"/>
      <c r="Q340" s="1"/>
      <c r="R340" s="1"/>
      <c r="S340" s="1"/>
      <c r="T340" s="1"/>
      <c r="U340" s="1"/>
    </row>
    <row r="341" ht="15.75" customHeight="1">
      <c r="A341" s="1"/>
      <c r="B341" s="1"/>
      <c r="C341" s="1"/>
      <c r="D341" s="2"/>
      <c r="E341" s="1"/>
      <c r="F341" s="1"/>
      <c r="G341" s="1"/>
      <c r="H341" s="1"/>
      <c r="I341" s="1"/>
      <c r="J341" s="1"/>
      <c r="K341" s="1"/>
      <c r="L341" s="1"/>
      <c r="M341" s="1"/>
      <c r="N341" s="1"/>
      <c r="O341" s="1"/>
      <c r="P341" s="1"/>
      <c r="Q341" s="1"/>
      <c r="R341" s="1"/>
      <c r="S341" s="1"/>
      <c r="T341" s="1"/>
      <c r="U341" s="1"/>
    </row>
    <row r="342" ht="15.75" customHeight="1">
      <c r="A342" s="1"/>
      <c r="B342" s="1"/>
      <c r="C342" s="1"/>
      <c r="D342" s="2"/>
      <c r="E342" s="1"/>
      <c r="F342" s="1"/>
      <c r="G342" s="1"/>
      <c r="H342" s="1"/>
      <c r="I342" s="1"/>
      <c r="J342" s="1"/>
      <c r="K342" s="1"/>
      <c r="L342" s="1"/>
      <c r="M342" s="1"/>
      <c r="N342" s="1"/>
      <c r="O342" s="1"/>
      <c r="P342" s="1"/>
      <c r="Q342" s="1"/>
      <c r="R342" s="1"/>
      <c r="S342" s="1"/>
      <c r="T342" s="1"/>
      <c r="U342" s="1"/>
    </row>
    <row r="343" ht="15.75" customHeight="1">
      <c r="A343" s="1"/>
      <c r="B343" s="1"/>
      <c r="C343" s="1"/>
      <c r="D343" s="2"/>
      <c r="E343" s="1"/>
      <c r="F343" s="1"/>
      <c r="G343" s="1"/>
      <c r="H343" s="1"/>
      <c r="I343" s="1"/>
      <c r="J343" s="1"/>
      <c r="K343" s="1"/>
      <c r="L343" s="1"/>
      <c r="M343" s="1"/>
      <c r="N343" s="1"/>
      <c r="O343" s="1"/>
      <c r="P343" s="1"/>
      <c r="Q343" s="1"/>
      <c r="R343" s="1"/>
      <c r="S343" s="1"/>
      <c r="T343" s="1"/>
      <c r="U343" s="1"/>
    </row>
    <row r="344" ht="15.75" customHeight="1">
      <c r="A344" s="1"/>
      <c r="B344" s="1"/>
      <c r="C344" s="1"/>
      <c r="D344" s="2"/>
      <c r="E344" s="1"/>
      <c r="F344" s="1"/>
      <c r="G344" s="1"/>
      <c r="H344" s="1"/>
      <c r="I344" s="1"/>
      <c r="J344" s="1"/>
      <c r="K344" s="1"/>
      <c r="L344" s="1"/>
      <c r="M344" s="1"/>
      <c r="N344" s="1"/>
      <c r="O344" s="1"/>
      <c r="P344" s="1"/>
      <c r="Q344" s="1"/>
      <c r="R344" s="1"/>
      <c r="S344" s="1"/>
      <c r="T344" s="1"/>
      <c r="U344" s="1"/>
    </row>
    <row r="345" ht="15.75" customHeight="1">
      <c r="A345" s="1"/>
      <c r="B345" s="1"/>
      <c r="C345" s="1"/>
      <c r="D345" s="2"/>
      <c r="E345" s="1"/>
      <c r="F345" s="1"/>
      <c r="G345" s="1"/>
      <c r="H345" s="1"/>
      <c r="I345" s="1"/>
      <c r="J345" s="1"/>
      <c r="K345" s="1"/>
      <c r="L345" s="1"/>
      <c r="M345" s="1"/>
      <c r="N345" s="1"/>
      <c r="O345" s="1"/>
      <c r="P345" s="1"/>
      <c r="Q345" s="1"/>
      <c r="R345" s="1"/>
      <c r="S345" s="1"/>
      <c r="T345" s="1"/>
      <c r="U345" s="1"/>
    </row>
    <row r="346" ht="15.75" customHeight="1">
      <c r="A346" s="1"/>
      <c r="B346" s="1"/>
      <c r="C346" s="1"/>
      <c r="D346" s="2"/>
      <c r="E346" s="1"/>
      <c r="F346" s="1"/>
      <c r="G346" s="1"/>
      <c r="H346" s="1"/>
      <c r="I346" s="1"/>
      <c r="J346" s="1"/>
      <c r="K346" s="1"/>
      <c r="L346" s="1"/>
      <c r="M346" s="1"/>
      <c r="N346" s="1"/>
      <c r="O346" s="1"/>
      <c r="P346" s="1"/>
      <c r="Q346" s="1"/>
      <c r="R346" s="1"/>
      <c r="S346" s="1"/>
      <c r="T346" s="1"/>
      <c r="U346" s="1"/>
    </row>
    <row r="347" ht="15.75" customHeight="1">
      <c r="A347" s="1"/>
      <c r="B347" s="1"/>
      <c r="C347" s="1"/>
      <c r="D347" s="2"/>
      <c r="E347" s="1"/>
      <c r="F347" s="1"/>
      <c r="G347" s="1"/>
      <c r="H347" s="1"/>
      <c r="I347" s="1"/>
      <c r="J347" s="1"/>
      <c r="K347" s="1"/>
      <c r="L347" s="1"/>
      <c r="M347" s="1"/>
      <c r="N347" s="1"/>
      <c r="O347" s="1"/>
      <c r="P347" s="1"/>
      <c r="Q347" s="1"/>
      <c r="R347" s="1"/>
      <c r="S347" s="1"/>
      <c r="T347" s="1"/>
      <c r="U347" s="1"/>
    </row>
    <row r="348" ht="15.75" customHeight="1">
      <c r="A348" s="1"/>
      <c r="B348" s="1"/>
      <c r="C348" s="1"/>
      <c r="D348" s="2"/>
      <c r="E348" s="1"/>
      <c r="F348" s="1"/>
      <c r="G348" s="1"/>
      <c r="H348" s="1"/>
      <c r="I348" s="1"/>
      <c r="J348" s="1"/>
      <c r="K348" s="1"/>
      <c r="L348" s="1"/>
      <c r="M348" s="1"/>
      <c r="N348" s="1"/>
      <c r="O348" s="1"/>
      <c r="P348" s="1"/>
      <c r="Q348" s="1"/>
      <c r="R348" s="1"/>
      <c r="S348" s="1"/>
      <c r="T348" s="1"/>
      <c r="U348" s="1"/>
    </row>
    <row r="349" ht="15.75" customHeight="1">
      <c r="A349" s="1"/>
      <c r="B349" s="1"/>
      <c r="C349" s="1"/>
      <c r="D349" s="2"/>
      <c r="E349" s="1"/>
      <c r="F349" s="1"/>
      <c r="G349" s="1"/>
      <c r="H349" s="1"/>
      <c r="I349" s="1"/>
      <c r="J349" s="1"/>
      <c r="K349" s="1"/>
      <c r="L349" s="1"/>
      <c r="M349" s="1"/>
      <c r="N349" s="1"/>
      <c r="O349" s="1"/>
      <c r="P349" s="1"/>
      <c r="Q349" s="1"/>
      <c r="R349" s="1"/>
      <c r="S349" s="1"/>
      <c r="T349" s="1"/>
      <c r="U349" s="1"/>
    </row>
    <row r="350" ht="15.75" customHeight="1">
      <c r="A350" s="1"/>
      <c r="B350" s="1"/>
      <c r="C350" s="1"/>
      <c r="D350" s="2"/>
      <c r="E350" s="1"/>
      <c r="F350" s="1"/>
      <c r="G350" s="1"/>
      <c r="H350" s="1"/>
      <c r="I350" s="1"/>
      <c r="J350" s="1"/>
      <c r="K350" s="1"/>
      <c r="L350" s="1"/>
      <c r="M350" s="1"/>
      <c r="N350" s="1"/>
      <c r="O350" s="1"/>
      <c r="P350" s="1"/>
      <c r="Q350" s="1"/>
      <c r="R350" s="1"/>
      <c r="S350" s="1"/>
      <c r="T350" s="1"/>
      <c r="U350" s="1"/>
    </row>
    <row r="351" ht="15.75" customHeight="1">
      <c r="A351" s="1"/>
      <c r="B351" s="1"/>
      <c r="C351" s="1"/>
      <c r="D351" s="2"/>
      <c r="E351" s="1"/>
      <c r="F351" s="1"/>
      <c r="G351" s="1"/>
      <c r="H351" s="1"/>
      <c r="I351" s="1"/>
      <c r="J351" s="1"/>
      <c r="K351" s="1"/>
      <c r="L351" s="1"/>
      <c r="M351" s="1"/>
      <c r="N351" s="1"/>
      <c r="O351" s="1"/>
      <c r="P351" s="1"/>
      <c r="Q351" s="1"/>
      <c r="R351" s="1"/>
      <c r="S351" s="1"/>
      <c r="T351" s="1"/>
      <c r="U351" s="1"/>
    </row>
    <row r="352" ht="15.75" customHeight="1">
      <c r="A352" s="1"/>
      <c r="B352" s="1"/>
      <c r="C352" s="1"/>
      <c r="D352" s="2"/>
      <c r="E352" s="1"/>
      <c r="F352" s="1"/>
      <c r="G352" s="1"/>
      <c r="H352" s="1"/>
      <c r="I352" s="1"/>
      <c r="J352" s="1"/>
      <c r="K352" s="1"/>
      <c r="L352" s="1"/>
      <c r="M352" s="1"/>
      <c r="N352" s="1"/>
      <c r="O352" s="1"/>
      <c r="P352" s="1"/>
      <c r="Q352" s="1"/>
      <c r="R352" s="1"/>
      <c r="S352" s="1"/>
      <c r="T352" s="1"/>
      <c r="U352" s="1"/>
    </row>
    <row r="353" ht="15.75" customHeight="1">
      <c r="A353" s="1"/>
      <c r="B353" s="1"/>
      <c r="C353" s="1"/>
      <c r="D353" s="2"/>
      <c r="E353" s="1"/>
      <c r="F353" s="1"/>
      <c r="G353" s="1"/>
      <c r="H353" s="1"/>
      <c r="I353" s="1"/>
      <c r="J353" s="1"/>
      <c r="K353" s="1"/>
      <c r="L353" s="1"/>
      <c r="M353" s="1"/>
      <c r="N353" s="1"/>
      <c r="O353" s="1"/>
      <c r="P353" s="1"/>
      <c r="Q353" s="1"/>
      <c r="R353" s="1"/>
      <c r="S353" s="1"/>
      <c r="T353" s="1"/>
      <c r="U353" s="1"/>
    </row>
    <row r="354" ht="15.75" customHeight="1">
      <c r="A354" s="1"/>
      <c r="B354" s="1"/>
      <c r="C354" s="1"/>
      <c r="D354" s="2"/>
      <c r="E354" s="1"/>
      <c r="F354" s="1"/>
      <c r="G354" s="1"/>
      <c r="H354" s="1"/>
      <c r="I354" s="1"/>
      <c r="J354" s="1"/>
      <c r="K354" s="1"/>
      <c r="L354" s="1"/>
      <c r="M354" s="1"/>
      <c r="N354" s="1"/>
      <c r="O354" s="1"/>
      <c r="P354" s="1"/>
      <c r="Q354" s="1"/>
      <c r="R354" s="1"/>
      <c r="S354" s="1"/>
      <c r="T354" s="1"/>
      <c r="U354" s="1"/>
    </row>
    <row r="355" ht="15.75" customHeight="1">
      <c r="A355" s="1"/>
      <c r="B355" s="1"/>
      <c r="C355" s="1"/>
      <c r="D355" s="2"/>
      <c r="E355" s="1"/>
      <c r="F355" s="1"/>
      <c r="G355" s="1"/>
      <c r="H355" s="1"/>
      <c r="I355" s="1"/>
      <c r="J355" s="1"/>
      <c r="K355" s="1"/>
      <c r="L355" s="1"/>
      <c r="M355" s="1"/>
      <c r="N355" s="1"/>
      <c r="O355" s="1"/>
      <c r="P355" s="1"/>
      <c r="Q355" s="1"/>
      <c r="R355" s="1"/>
      <c r="S355" s="1"/>
      <c r="T355" s="1"/>
      <c r="U355" s="1"/>
    </row>
    <row r="356" ht="15.75" customHeight="1">
      <c r="A356" s="1"/>
      <c r="B356" s="1"/>
      <c r="C356" s="1"/>
      <c r="D356" s="2"/>
      <c r="E356" s="1"/>
      <c r="F356" s="1"/>
      <c r="G356" s="1"/>
      <c r="H356" s="1"/>
      <c r="I356" s="1"/>
      <c r="J356" s="1"/>
      <c r="K356" s="1"/>
      <c r="L356" s="1"/>
      <c r="M356" s="1"/>
      <c r="N356" s="1"/>
      <c r="O356" s="1"/>
      <c r="P356" s="1"/>
      <c r="Q356" s="1"/>
      <c r="R356" s="1"/>
      <c r="S356" s="1"/>
      <c r="T356" s="1"/>
      <c r="U356" s="1"/>
    </row>
    <row r="357" ht="15.75" customHeight="1">
      <c r="A357" s="1"/>
      <c r="B357" s="1"/>
      <c r="C357" s="1"/>
      <c r="D357" s="2"/>
      <c r="E357" s="1"/>
      <c r="F357" s="1"/>
      <c r="G357" s="1"/>
      <c r="H357" s="1"/>
      <c r="I357" s="1"/>
      <c r="J357" s="1"/>
      <c r="K357" s="1"/>
      <c r="L357" s="1"/>
      <c r="M357" s="1"/>
      <c r="N357" s="1"/>
      <c r="O357" s="1"/>
      <c r="P357" s="1"/>
      <c r="Q357" s="1"/>
      <c r="R357" s="1"/>
      <c r="S357" s="1"/>
      <c r="T357" s="1"/>
      <c r="U357" s="1"/>
    </row>
    <row r="358" ht="15.75" customHeight="1">
      <c r="A358" s="1"/>
      <c r="B358" s="1"/>
      <c r="C358" s="1"/>
      <c r="D358" s="2"/>
      <c r="E358" s="1"/>
      <c r="F358" s="1"/>
      <c r="G358" s="1"/>
      <c r="H358" s="1"/>
      <c r="I358" s="1"/>
      <c r="J358" s="1"/>
      <c r="K358" s="1"/>
      <c r="L358" s="1"/>
      <c r="M358" s="1"/>
      <c r="N358" s="1"/>
      <c r="O358" s="1"/>
      <c r="P358" s="1"/>
      <c r="Q358" s="1"/>
      <c r="R358" s="1"/>
      <c r="S358" s="1"/>
      <c r="T358" s="1"/>
      <c r="U358" s="1"/>
    </row>
    <row r="359" ht="15.75" customHeight="1">
      <c r="A359" s="1"/>
      <c r="B359" s="1"/>
      <c r="C359" s="1"/>
      <c r="D359" s="2"/>
      <c r="E359" s="1"/>
      <c r="F359" s="1"/>
      <c r="G359" s="1"/>
      <c r="H359" s="1"/>
      <c r="I359" s="1"/>
      <c r="J359" s="1"/>
      <c r="K359" s="1"/>
      <c r="L359" s="1"/>
      <c r="M359" s="1"/>
      <c r="N359" s="1"/>
      <c r="O359" s="1"/>
      <c r="P359" s="1"/>
      <c r="Q359" s="1"/>
      <c r="R359" s="1"/>
      <c r="S359" s="1"/>
      <c r="T359" s="1"/>
      <c r="U359" s="1"/>
    </row>
    <row r="360" ht="15.75" customHeight="1">
      <c r="A360" s="1"/>
      <c r="B360" s="1"/>
      <c r="C360" s="1"/>
      <c r="D360" s="2"/>
      <c r="E360" s="1"/>
      <c r="F360" s="1"/>
      <c r="G360" s="1"/>
      <c r="H360" s="1"/>
      <c r="I360" s="1"/>
      <c r="J360" s="1"/>
      <c r="K360" s="1"/>
      <c r="L360" s="1"/>
      <c r="M360" s="1"/>
      <c r="N360" s="1"/>
      <c r="O360" s="1"/>
      <c r="P360" s="1"/>
      <c r="Q360" s="1"/>
      <c r="R360" s="1"/>
      <c r="S360" s="1"/>
      <c r="T360" s="1"/>
      <c r="U360" s="1"/>
    </row>
    <row r="361" ht="15.75" customHeight="1">
      <c r="A361" s="1"/>
      <c r="B361" s="1"/>
      <c r="C361" s="1"/>
      <c r="D361" s="2"/>
      <c r="E361" s="1"/>
      <c r="F361" s="1"/>
      <c r="G361" s="1"/>
      <c r="H361" s="1"/>
      <c r="I361" s="1"/>
      <c r="J361" s="1"/>
      <c r="K361" s="1"/>
      <c r="L361" s="1"/>
      <c r="M361" s="1"/>
      <c r="N361" s="1"/>
      <c r="O361" s="1"/>
      <c r="P361" s="1"/>
      <c r="Q361" s="1"/>
      <c r="R361" s="1"/>
      <c r="S361" s="1"/>
      <c r="T361" s="1"/>
      <c r="U361" s="1"/>
    </row>
    <row r="362" ht="15.75" customHeight="1">
      <c r="A362" s="1"/>
      <c r="B362" s="1"/>
      <c r="C362" s="1"/>
      <c r="D362" s="2"/>
      <c r="E362" s="1"/>
      <c r="F362" s="1"/>
      <c r="G362" s="1"/>
      <c r="H362" s="1"/>
      <c r="I362" s="1"/>
      <c r="J362" s="1"/>
      <c r="K362" s="1"/>
      <c r="L362" s="1"/>
      <c r="M362" s="1"/>
      <c r="N362" s="1"/>
      <c r="O362" s="1"/>
      <c r="P362" s="1"/>
      <c r="Q362" s="1"/>
      <c r="R362" s="1"/>
      <c r="S362" s="1"/>
      <c r="T362" s="1"/>
      <c r="U362" s="1"/>
    </row>
    <row r="363" ht="15.75" customHeight="1">
      <c r="A363" s="1"/>
      <c r="B363" s="1"/>
      <c r="C363" s="1"/>
      <c r="D363" s="2"/>
      <c r="E363" s="1"/>
      <c r="F363" s="1"/>
      <c r="G363" s="1"/>
      <c r="H363" s="1"/>
      <c r="I363" s="1"/>
      <c r="J363" s="1"/>
      <c r="K363" s="1"/>
      <c r="L363" s="1"/>
      <c r="M363" s="1"/>
      <c r="N363" s="1"/>
      <c r="O363" s="1"/>
      <c r="P363" s="1"/>
      <c r="Q363" s="1"/>
      <c r="R363" s="1"/>
      <c r="S363" s="1"/>
      <c r="T363" s="1"/>
      <c r="U363" s="1"/>
    </row>
    <row r="364" ht="15.75" customHeight="1">
      <c r="A364" s="1"/>
      <c r="B364" s="1"/>
      <c r="C364" s="1"/>
      <c r="D364" s="2"/>
      <c r="E364" s="1"/>
      <c r="F364" s="1"/>
      <c r="G364" s="1"/>
      <c r="H364" s="1"/>
      <c r="I364" s="1"/>
      <c r="J364" s="1"/>
      <c r="K364" s="1"/>
      <c r="L364" s="1"/>
      <c r="M364" s="1"/>
      <c r="N364" s="1"/>
      <c r="O364" s="1"/>
      <c r="P364" s="1"/>
      <c r="Q364" s="1"/>
      <c r="R364" s="1"/>
      <c r="S364" s="1"/>
      <c r="T364" s="1"/>
      <c r="U364" s="1"/>
    </row>
    <row r="365" ht="15.75" customHeight="1">
      <c r="A365" s="1"/>
      <c r="B365" s="1"/>
      <c r="C365" s="1"/>
      <c r="D365" s="2"/>
      <c r="E365" s="1"/>
      <c r="F365" s="1"/>
      <c r="G365" s="1"/>
      <c r="H365" s="1"/>
      <c r="I365" s="1"/>
      <c r="J365" s="1"/>
      <c r="K365" s="1"/>
      <c r="L365" s="1"/>
      <c r="M365" s="1"/>
      <c r="N365" s="1"/>
      <c r="O365" s="1"/>
      <c r="P365" s="1"/>
      <c r="Q365" s="1"/>
      <c r="R365" s="1"/>
      <c r="S365" s="1"/>
      <c r="T365" s="1"/>
      <c r="U365" s="1"/>
    </row>
    <row r="366" ht="15.75" customHeight="1">
      <c r="A366" s="1"/>
      <c r="B366" s="1"/>
      <c r="C366" s="1"/>
      <c r="D366" s="2"/>
      <c r="E366" s="1"/>
      <c r="F366" s="1"/>
      <c r="G366" s="1"/>
      <c r="H366" s="1"/>
      <c r="I366" s="1"/>
      <c r="J366" s="1"/>
      <c r="K366" s="1"/>
      <c r="L366" s="1"/>
      <c r="M366" s="1"/>
      <c r="N366" s="1"/>
      <c r="O366" s="1"/>
      <c r="P366" s="1"/>
      <c r="Q366" s="1"/>
      <c r="R366" s="1"/>
      <c r="S366" s="1"/>
      <c r="T366" s="1"/>
      <c r="U366" s="1"/>
    </row>
    <row r="367" ht="15.75" customHeight="1">
      <c r="A367" s="1"/>
      <c r="B367" s="1"/>
      <c r="C367" s="1"/>
      <c r="D367" s="2"/>
      <c r="E367" s="1"/>
      <c r="F367" s="1"/>
      <c r="G367" s="1"/>
      <c r="H367" s="1"/>
      <c r="I367" s="1"/>
      <c r="J367" s="1"/>
      <c r="K367" s="1"/>
      <c r="L367" s="1"/>
      <c r="M367" s="1"/>
      <c r="N367" s="1"/>
      <c r="O367" s="1"/>
      <c r="P367" s="1"/>
      <c r="Q367" s="1"/>
      <c r="R367" s="1"/>
      <c r="S367" s="1"/>
      <c r="T367" s="1"/>
      <c r="U367" s="1"/>
    </row>
    <row r="368" ht="15.75" customHeight="1">
      <c r="A368" s="1"/>
      <c r="B368" s="1"/>
      <c r="C368" s="1"/>
      <c r="D368" s="2"/>
      <c r="E368" s="1"/>
      <c r="F368" s="1"/>
      <c r="G368" s="1"/>
      <c r="H368" s="1"/>
      <c r="I368" s="1"/>
      <c r="J368" s="1"/>
      <c r="K368" s="1"/>
      <c r="L368" s="1"/>
      <c r="M368" s="1"/>
      <c r="N368" s="1"/>
      <c r="O368" s="1"/>
      <c r="P368" s="1"/>
      <c r="Q368" s="1"/>
      <c r="R368" s="1"/>
      <c r="S368" s="1"/>
      <c r="T368" s="1"/>
      <c r="U368" s="1"/>
    </row>
    <row r="369" ht="15.75" customHeight="1">
      <c r="A369" s="1"/>
      <c r="B369" s="1"/>
      <c r="C369" s="1"/>
      <c r="D369" s="2"/>
      <c r="E369" s="1"/>
      <c r="F369" s="1"/>
      <c r="G369" s="1"/>
      <c r="H369" s="1"/>
      <c r="I369" s="1"/>
      <c r="J369" s="1"/>
      <c r="K369" s="1"/>
      <c r="L369" s="1"/>
      <c r="M369" s="1"/>
      <c r="N369" s="1"/>
      <c r="O369" s="1"/>
      <c r="P369" s="1"/>
      <c r="Q369" s="1"/>
      <c r="R369" s="1"/>
      <c r="S369" s="1"/>
      <c r="T369" s="1"/>
      <c r="U369" s="1"/>
    </row>
    <row r="370" ht="15.75" customHeight="1">
      <c r="A370" s="1"/>
      <c r="B370" s="1"/>
      <c r="C370" s="1"/>
      <c r="D370" s="2"/>
      <c r="E370" s="1"/>
      <c r="F370" s="1"/>
      <c r="G370" s="1"/>
      <c r="H370" s="1"/>
      <c r="I370" s="1"/>
      <c r="J370" s="1"/>
      <c r="K370" s="1"/>
      <c r="L370" s="1"/>
      <c r="M370" s="1"/>
      <c r="N370" s="1"/>
      <c r="O370" s="1"/>
      <c r="P370" s="1"/>
      <c r="Q370" s="1"/>
      <c r="R370" s="1"/>
      <c r="S370" s="1"/>
      <c r="T370" s="1"/>
      <c r="U370" s="1"/>
    </row>
    <row r="371" ht="15.75" customHeight="1">
      <c r="A371" s="1"/>
      <c r="B371" s="1"/>
      <c r="C371" s="1"/>
      <c r="D371" s="2"/>
      <c r="E371" s="1"/>
      <c r="F371" s="1"/>
      <c r="G371" s="1"/>
      <c r="H371" s="1"/>
      <c r="I371" s="1"/>
      <c r="J371" s="1"/>
      <c r="K371" s="1"/>
      <c r="L371" s="1"/>
      <c r="M371" s="1"/>
      <c r="N371" s="1"/>
      <c r="O371" s="1"/>
      <c r="P371" s="1"/>
      <c r="Q371" s="1"/>
      <c r="R371" s="1"/>
      <c r="S371" s="1"/>
      <c r="T371" s="1"/>
      <c r="U371" s="1"/>
    </row>
    <row r="372" ht="15.75" customHeight="1">
      <c r="A372" s="1"/>
      <c r="B372" s="1"/>
      <c r="C372" s="1"/>
      <c r="D372" s="2"/>
      <c r="E372" s="1"/>
      <c r="F372" s="1"/>
      <c r="G372" s="1"/>
      <c r="H372" s="1"/>
      <c r="I372" s="1"/>
      <c r="J372" s="1"/>
      <c r="K372" s="1"/>
      <c r="L372" s="1"/>
      <c r="M372" s="1"/>
      <c r="N372" s="1"/>
      <c r="O372" s="1"/>
      <c r="P372" s="1"/>
      <c r="Q372" s="1"/>
      <c r="R372" s="1"/>
      <c r="S372" s="1"/>
      <c r="T372" s="1"/>
      <c r="U372" s="1"/>
    </row>
    <row r="373" ht="15.75" customHeight="1">
      <c r="A373" s="1"/>
      <c r="B373" s="1"/>
      <c r="C373" s="1"/>
      <c r="D373" s="2"/>
      <c r="E373" s="1"/>
      <c r="F373" s="1"/>
      <c r="G373" s="1"/>
      <c r="H373" s="1"/>
      <c r="I373" s="1"/>
      <c r="J373" s="1"/>
      <c r="K373" s="1"/>
      <c r="L373" s="1"/>
      <c r="M373" s="1"/>
      <c r="N373" s="1"/>
      <c r="O373" s="1"/>
      <c r="P373" s="1"/>
      <c r="Q373" s="1"/>
      <c r="R373" s="1"/>
      <c r="S373" s="1"/>
      <c r="T373" s="1"/>
      <c r="U373" s="1"/>
    </row>
    <row r="374" ht="15.75" customHeight="1">
      <c r="A374" s="1"/>
      <c r="B374" s="1"/>
      <c r="C374" s="1"/>
      <c r="D374" s="2"/>
      <c r="E374" s="1"/>
      <c r="F374" s="1"/>
      <c r="G374" s="1"/>
      <c r="H374" s="1"/>
      <c r="I374" s="1"/>
      <c r="J374" s="1"/>
      <c r="K374" s="1"/>
      <c r="L374" s="1"/>
      <c r="M374" s="1"/>
      <c r="N374" s="1"/>
      <c r="O374" s="1"/>
      <c r="P374" s="1"/>
      <c r="Q374" s="1"/>
      <c r="R374" s="1"/>
      <c r="S374" s="1"/>
      <c r="T374" s="1"/>
      <c r="U374" s="1"/>
    </row>
    <row r="375" ht="15.75" customHeight="1">
      <c r="A375" s="1"/>
      <c r="B375" s="1"/>
      <c r="C375" s="1"/>
      <c r="D375" s="2"/>
      <c r="E375" s="1"/>
      <c r="F375" s="1"/>
      <c r="G375" s="1"/>
      <c r="H375" s="1"/>
      <c r="I375" s="1"/>
      <c r="J375" s="1"/>
      <c r="K375" s="1"/>
      <c r="L375" s="1"/>
      <c r="M375" s="1"/>
      <c r="N375" s="1"/>
      <c r="O375" s="1"/>
      <c r="P375" s="1"/>
      <c r="Q375" s="1"/>
      <c r="R375" s="1"/>
      <c r="S375" s="1"/>
      <c r="T375" s="1"/>
      <c r="U375" s="1"/>
    </row>
    <row r="376" ht="15.75" customHeight="1">
      <c r="A376" s="1"/>
      <c r="B376" s="1"/>
      <c r="C376" s="1"/>
      <c r="D376" s="2"/>
      <c r="E376" s="1"/>
      <c r="F376" s="1"/>
      <c r="G376" s="1"/>
      <c r="H376" s="1"/>
      <c r="I376" s="1"/>
      <c r="J376" s="1"/>
      <c r="K376" s="1"/>
      <c r="L376" s="1"/>
      <c r="M376" s="1"/>
      <c r="N376" s="1"/>
      <c r="O376" s="1"/>
      <c r="P376" s="1"/>
      <c r="Q376" s="1"/>
      <c r="R376" s="1"/>
      <c r="S376" s="1"/>
      <c r="T376" s="1"/>
      <c r="U376" s="1"/>
    </row>
    <row r="377" ht="15.75" customHeight="1">
      <c r="A377" s="1"/>
      <c r="B377" s="1"/>
      <c r="C377" s="1"/>
      <c r="D377" s="2"/>
      <c r="E377" s="1"/>
      <c r="F377" s="1"/>
      <c r="G377" s="1"/>
      <c r="H377" s="1"/>
      <c r="I377" s="1"/>
      <c r="J377" s="1"/>
      <c r="K377" s="1"/>
      <c r="L377" s="1"/>
      <c r="M377" s="1"/>
      <c r="N377" s="1"/>
      <c r="O377" s="1"/>
      <c r="P377" s="1"/>
      <c r="Q377" s="1"/>
      <c r="R377" s="1"/>
      <c r="S377" s="1"/>
      <c r="T377" s="1"/>
      <c r="U377" s="1"/>
    </row>
    <row r="378" ht="15.75" customHeight="1">
      <c r="A378" s="1"/>
      <c r="B378" s="1"/>
      <c r="C378" s="1"/>
      <c r="D378" s="2"/>
      <c r="E378" s="1"/>
      <c r="F378" s="1"/>
      <c r="G378" s="1"/>
      <c r="H378" s="1"/>
      <c r="I378" s="1"/>
      <c r="J378" s="1"/>
      <c r="K378" s="1"/>
      <c r="L378" s="1"/>
      <c r="M378" s="1"/>
      <c r="N378" s="1"/>
      <c r="O378" s="1"/>
      <c r="P378" s="1"/>
      <c r="Q378" s="1"/>
      <c r="R378" s="1"/>
      <c r="S378" s="1"/>
      <c r="T378" s="1"/>
      <c r="U378" s="1"/>
    </row>
    <row r="379" ht="15.75" customHeight="1">
      <c r="A379" s="1"/>
      <c r="B379" s="1"/>
      <c r="C379" s="1"/>
      <c r="D379" s="2"/>
      <c r="E379" s="1"/>
      <c r="F379" s="1"/>
      <c r="G379" s="1"/>
      <c r="H379" s="1"/>
      <c r="I379" s="1"/>
      <c r="J379" s="1"/>
      <c r="K379" s="1"/>
      <c r="L379" s="1"/>
      <c r="M379" s="1"/>
      <c r="N379" s="1"/>
      <c r="O379" s="1"/>
      <c r="P379" s="1"/>
      <c r="Q379" s="1"/>
      <c r="R379" s="1"/>
      <c r="S379" s="1"/>
      <c r="T379" s="1"/>
      <c r="U379" s="1"/>
    </row>
    <row r="380" ht="15.75" customHeight="1">
      <c r="A380" s="1"/>
      <c r="B380" s="1"/>
      <c r="C380" s="1"/>
      <c r="D380" s="2"/>
      <c r="E380" s="1"/>
      <c r="F380" s="1"/>
      <c r="G380" s="1"/>
      <c r="H380" s="1"/>
      <c r="I380" s="1"/>
      <c r="J380" s="1"/>
      <c r="K380" s="1"/>
      <c r="L380" s="1"/>
      <c r="M380" s="1"/>
      <c r="N380" s="1"/>
      <c r="O380" s="1"/>
      <c r="P380" s="1"/>
      <c r="Q380" s="1"/>
      <c r="R380" s="1"/>
      <c r="S380" s="1"/>
      <c r="T380" s="1"/>
      <c r="U380" s="1"/>
    </row>
    <row r="381" ht="15.75" customHeight="1">
      <c r="A381" s="1"/>
      <c r="B381" s="1"/>
      <c r="C381" s="1"/>
      <c r="D381" s="2"/>
      <c r="E381" s="1"/>
      <c r="F381" s="1"/>
      <c r="G381" s="1"/>
      <c r="H381" s="1"/>
      <c r="I381" s="1"/>
      <c r="J381" s="1"/>
      <c r="K381" s="1"/>
      <c r="L381" s="1"/>
      <c r="M381" s="1"/>
      <c r="N381" s="1"/>
      <c r="O381" s="1"/>
      <c r="P381" s="1"/>
      <c r="Q381" s="1"/>
      <c r="R381" s="1"/>
      <c r="S381" s="1"/>
      <c r="T381" s="1"/>
      <c r="U381" s="1"/>
    </row>
    <row r="382" ht="15.75" customHeight="1">
      <c r="A382" s="1"/>
      <c r="B382" s="1"/>
      <c r="C382" s="1"/>
      <c r="D382" s="2"/>
      <c r="E382" s="1"/>
      <c r="F382" s="1"/>
      <c r="G382" s="1"/>
      <c r="H382" s="1"/>
      <c r="I382" s="1"/>
      <c r="J382" s="1"/>
      <c r="K382" s="1"/>
      <c r="L382" s="1"/>
      <c r="M382" s="1"/>
      <c r="N382" s="1"/>
      <c r="O382" s="1"/>
      <c r="P382" s="1"/>
      <c r="Q382" s="1"/>
      <c r="R382" s="1"/>
      <c r="S382" s="1"/>
      <c r="T382" s="1"/>
      <c r="U382" s="1"/>
    </row>
    <row r="383" ht="15.75" customHeight="1">
      <c r="A383" s="1"/>
      <c r="B383" s="1"/>
      <c r="C383" s="1"/>
      <c r="D383" s="2"/>
      <c r="E383" s="1"/>
      <c r="F383" s="1"/>
      <c r="G383" s="1"/>
      <c r="H383" s="1"/>
      <c r="I383" s="1"/>
      <c r="J383" s="1"/>
      <c r="K383" s="1"/>
      <c r="L383" s="1"/>
      <c r="M383" s="1"/>
      <c r="N383" s="1"/>
      <c r="O383" s="1"/>
      <c r="P383" s="1"/>
      <c r="Q383" s="1"/>
      <c r="R383" s="1"/>
      <c r="S383" s="1"/>
      <c r="T383" s="1"/>
      <c r="U383" s="1"/>
    </row>
    <row r="384" ht="15.75" customHeight="1">
      <c r="A384" s="1"/>
      <c r="B384" s="1"/>
      <c r="C384" s="1"/>
      <c r="D384" s="2"/>
      <c r="E384" s="1"/>
      <c r="F384" s="1"/>
      <c r="G384" s="1"/>
      <c r="H384" s="1"/>
      <c r="I384" s="1"/>
      <c r="J384" s="1"/>
      <c r="K384" s="1"/>
      <c r="L384" s="1"/>
      <c r="M384" s="1"/>
      <c r="N384" s="1"/>
      <c r="O384" s="1"/>
      <c r="P384" s="1"/>
      <c r="Q384" s="1"/>
      <c r="R384" s="1"/>
      <c r="S384" s="1"/>
      <c r="T384" s="1"/>
      <c r="U384" s="1"/>
    </row>
    <row r="385" ht="15.75" customHeight="1">
      <c r="A385" s="1"/>
      <c r="B385" s="1"/>
      <c r="C385" s="1"/>
      <c r="D385" s="2"/>
      <c r="E385" s="1"/>
      <c r="F385" s="1"/>
      <c r="G385" s="1"/>
      <c r="H385" s="1"/>
      <c r="I385" s="1"/>
      <c r="J385" s="1"/>
      <c r="K385" s="1"/>
      <c r="L385" s="1"/>
      <c r="M385" s="1"/>
      <c r="N385" s="1"/>
      <c r="O385" s="1"/>
      <c r="P385" s="1"/>
      <c r="Q385" s="1"/>
      <c r="R385" s="1"/>
      <c r="S385" s="1"/>
      <c r="T385" s="1"/>
      <c r="U385" s="1"/>
    </row>
    <row r="386" ht="15.75" customHeight="1">
      <c r="A386" s="1"/>
      <c r="B386" s="1"/>
      <c r="C386" s="1"/>
      <c r="D386" s="2"/>
      <c r="E386" s="1"/>
      <c r="F386" s="1"/>
      <c r="G386" s="1"/>
      <c r="H386" s="1"/>
      <c r="I386" s="1"/>
      <c r="J386" s="1"/>
      <c r="K386" s="1"/>
      <c r="L386" s="1"/>
      <c r="M386" s="1"/>
      <c r="N386" s="1"/>
      <c r="O386" s="1"/>
      <c r="P386" s="1"/>
      <c r="Q386" s="1"/>
      <c r="R386" s="1"/>
      <c r="S386" s="1"/>
      <c r="T386" s="1"/>
      <c r="U386" s="1"/>
    </row>
    <row r="387" ht="15.75" customHeight="1">
      <c r="A387" s="1"/>
      <c r="B387" s="1"/>
      <c r="C387" s="1"/>
      <c r="D387" s="2"/>
      <c r="E387" s="1"/>
      <c r="F387" s="1"/>
      <c r="G387" s="1"/>
      <c r="H387" s="1"/>
      <c r="I387" s="1"/>
      <c r="J387" s="1"/>
      <c r="K387" s="1"/>
      <c r="L387" s="1"/>
      <c r="M387" s="1"/>
      <c r="N387" s="1"/>
      <c r="O387" s="1"/>
      <c r="P387" s="1"/>
      <c r="Q387" s="1"/>
      <c r="R387" s="1"/>
      <c r="S387" s="1"/>
      <c r="T387" s="1"/>
      <c r="U387" s="1"/>
    </row>
    <row r="388" ht="15.75" customHeight="1">
      <c r="A388" s="1"/>
      <c r="B388" s="1"/>
      <c r="C388" s="1"/>
      <c r="D388" s="2"/>
      <c r="E388" s="1"/>
      <c r="F388" s="1"/>
      <c r="G388" s="1"/>
      <c r="H388" s="1"/>
      <c r="I388" s="1"/>
      <c r="J388" s="1"/>
      <c r="K388" s="1"/>
      <c r="L388" s="1"/>
      <c r="M388" s="1"/>
      <c r="N388" s="1"/>
      <c r="O388" s="1"/>
      <c r="P388" s="1"/>
      <c r="Q388" s="1"/>
      <c r="R388" s="1"/>
      <c r="S388" s="1"/>
      <c r="T388" s="1"/>
      <c r="U388" s="1"/>
    </row>
    <row r="389" ht="15.75" customHeight="1">
      <c r="A389" s="1"/>
      <c r="B389" s="1"/>
      <c r="C389" s="1"/>
      <c r="D389" s="2"/>
      <c r="E389" s="1"/>
      <c r="F389" s="1"/>
      <c r="G389" s="1"/>
      <c r="H389" s="1"/>
      <c r="I389" s="1"/>
      <c r="J389" s="1"/>
      <c r="K389" s="1"/>
      <c r="L389" s="1"/>
      <c r="M389" s="1"/>
      <c r="N389" s="1"/>
      <c r="O389" s="1"/>
      <c r="P389" s="1"/>
      <c r="Q389" s="1"/>
      <c r="R389" s="1"/>
      <c r="S389" s="1"/>
      <c r="T389" s="1"/>
      <c r="U389" s="1"/>
    </row>
    <row r="390" ht="15.75" customHeight="1">
      <c r="A390" s="1"/>
      <c r="B390" s="1"/>
      <c r="C390" s="1"/>
      <c r="D390" s="2"/>
      <c r="E390" s="1"/>
      <c r="F390" s="1"/>
      <c r="G390" s="1"/>
      <c r="H390" s="1"/>
      <c r="I390" s="1"/>
      <c r="J390" s="1"/>
      <c r="K390" s="1"/>
      <c r="L390" s="1"/>
      <c r="M390" s="1"/>
      <c r="N390" s="1"/>
      <c r="O390" s="1"/>
      <c r="P390" s="1"/>
      <c r="Q390" s="1"/>
      <c r="R390" s="1"/>
      <c r="S390" s="1"/>
      <c r="T390" s="1"/>
      <c r="U390" s="1"/>
    </row>
    <row r="391" ht="15.75" customHeight="1">
      <c r="A391" s="1"/>
      <c r="B391" s="1"/>
      <c r="C391" s="1"/>
      <c r="D391" s="2"/>
      <c r="E391" s="1"/>
      <c r="F391" s="1"/>
      <c r="G391" s="1"/>
      <c r="H391" s="1"/>
      <c r="I391" s="1"/>
      <c r="J391" s="1"/>
      <c r="K391" s="1"/>
      <c r="L391" s="1"/>
      <c r="M391" s="1"/>
      <c r="N391" s="1"/>
      <c r="O391" s="1"/>
      <c r="P391" s="1"/>
      <c r="Q391" s="1"/>
      <c r="R391" s="1"/>
      <c r="S391" s="1"/>
      <c r="T391" s="1"/>
      <c r="U391" s="1"/>
    </row>
    <row r="392" ht="15.75" customHeight="1">
      <c r="A392" s="1"/>
      <c r="B392" s="1"/>
      <c r="C392" s="1"/>
      <c r="D392" s="2"/>
      <c r="E392" s="1"/>
      <c r="F392" s="1"/>
      <c r="G392" s="1"/>
      <c r="H392" s="1"/>
      <c r="I392" s="1"/>
      <c r="J392" s="1"/>
      <c r="K392" s="1"/>
      <c r="L392" s="1"/>
      <c r="M392" s="1"/>
      <c r="N392" s="1"/>
      <c r="O392" s="1"/>
      <c r="P392" s="1"/>
      <c r="Q392" s="1"/>
      <c r="R392" s="1"/>
      <c r="S392" s="1"/>
      <c r="T392" s="1"/>
      <c r="U392" s="1"/>
    </row>
    <row r="393" ht="15.75" customHeight="1">
      <c r="A393" s="1"/>
      <c r="B393" s="1"/>
      <c r="C393" s="1"/>
      <c r="D393" s="2"/>
      <c r="E393" s="1"/>
      <c r="F393" s="1"/>
      <c r="G393" s="1"/>
      <c r="H393" s="1"/>
      <c r="I393" s="1"/>
      <c r="J393" s="1"/>
      <c r="K393" s="1"/>
      <c r="L393" s="1"/>
      <c r="M393" s="1"/>
      <c r="N393" s="1"/>
      <c r="O393" s="1"/>
      <c r="P393" s="1"/>
      <c r="Q393" s="1"/>
      <c r="R393" s="1"/>
      <c r="S393" s="1"/>
      <c r="T393" s="1"/>
      <c r="U393" s="1"/>
    </row>
    <row r="394" ht="15.75" customHeight="1">
      <c r="A394" s="1"/>
      <c r="B394" s="1"/>
      <c r="C394" s="1"/>
      <c r="D394" s="2"/>
      <c r="E394" s="1"/>
      <c r="F394" s="1"/>
      <c r="G394" s="1"/>
      <c r="H394" s="1"/>
      <c r="I394" s="1"/>
      <c r="J394" s="1"/>
      <c r="K394" s="1"/>
      <c r="L394" s="1"/>
      <c r="M394" s="1"/>
      <c r="N394" s="1"/>
      <c r="O394" s="1"/>
      <c r="P394" s="1"/>
      <c r="Q394" s="1"/>
      <c r="R394" s="1"/>
      <c r="S394" s="1"/>
      <c r="T394" s="1"/>
      <c r="U394" s="1"/>
    </row>
    <row r="395" ht="15.75" customHeight="1">
      <c r="A395" s="1"/>
      <c r="B395" s="1"/>
      <c r="C395" s="1"/>
      <c r="D395" s="2"/>
      <c r="E395" s="1"/>
      <c r="F395" s="1"/>
      <c r="G395" s="1"/>
      <c r="H395" s="1"/>
      <c r="I395" s="1"/>
      <c r="J395" s="1"/>
      <c r="K395" s="1"/>
      <c r="L395" s="1"/>
      <c r="M395" s="1"/>
      <c r="N395" s="1"/>
      <c r="O395" s="1"/>
      <c r="P395" s="1"/>
      <c r="Q395" s="1"/>
      <c r="R395" s="1"/>
      <c r="S395" s="1"/>
      <c r="T395" s="1"/>
      <c r="U395" s="1"/>
    </row>
    <row r="396" ht="15.75" customHeight="1">
      <c r="A396" s="1"/>
      <c r="B396" s="1"/>
      <c r="C396" s="1"/>
      <c r="D396" s="2"/>
      <c r="E396" s="1"/>
      <c r="F396" s="1"/>
      <c r="G396" s="1"/>
      <c r="H396" s="1"/>
      <c r="I396" s="1"/>
      <c r="J396" s="1"/>
      <c r="K396" s="1"/>
      <c r="L396" s="1"/>
      <c r="M396" s="1"/>
      <c r="N396" s="1"/>
      <c r="O396" s="1"/>
      <c r="P396" s="1"/>
      <c r="Q396" s="1"/>
      <c r="R396" s="1"/>
      <c r="S396" s="1"/>
      <c r="T396" s="1"/>
      <c r="U396" s="1"/>
    </row>
    <row r="397" ht="15.75" customHeight="1">
      <c r="A397" s="1"/>
      <c r="B397" s="1"/>
      <c r="C397" s="1"/>
      <c r="D397" s="2"/>
      <c r="E397" s="1"/>
      <c r="F397" s="1"/>
      <c r="G397" s="1"/>
      <c r="H397" s="1"/>
      <c r="I397" s="1"/>
      <c r="J397" s="1"/>
      <c r="K397" s="1"/>
      <c r="L397" s="1"/>
      <c r="M397" s="1"/>
      <c r="N397" s="1"/>
      <c r="O397" s="1"/>
      <c r="P397" s="1"/>
      <c r="Q397" s="1"/>
      <c r="R397" s="1"/>
      <c r="S397" s="1"/>
      <c r="T397" s="1"/>
      <c r="U397" s="1"/>
    </row>
    <row r="398" ht="15.75" customHeight="1">
      <c r="A398" s="1"/>
      <c r="B398" s="1"/>
      <c r="C398" s="1"/>
      <c r="D398" s="2"/>
      <c r="E398" s="1"/>
      <c r="F398" s="1"/>
      <c r="G398" s="1"/>
      <c r="H398" s="1"/>
      <c r="I398" s="1"/>
      <c r="J398" s="1"/>
      <c r="K398" s="1"/>
      <c r="L398" s="1"/>
      <c r="M398" s="1"/>
      <c r="N398" s="1"/>
      <c r="O398" s="1"/>
      <c r="P398" s="1"/>
      <c r="Q398" s="1"/>
      <c r="R398" s="1"/>
      <c r="S398" s="1"/>
      <c r="T398" s="1"/>
      <c r="U398" s="1"/>
    </row>
    <row r="399" ht="15.75" customHeight="1">
      <c r="A399" s="1"/>
      <c r="B399" s="1"/>
      <c r="C399" s="1"/>
      <c r="D399" s="2"/>
      <c r="E399" s="1"/>
      <c r="F399" s="1"/>
      <c r="G399" s="1"/>
      <c r="H399" s="1"/>
      <c r="I399" s="1"/>
      <c r="J399" s="1"/>
      <c r="K399" s="1"/>
      <c r="L399" s="1"/>
      <c r="M399" s="1"/>
      <c r="N399" s="1"/>
      <c r="O399" s="1"/>
      <c r="P399" s="1"/>
      <c r="Q399" s="1"/>
      <c r="R399" s="1"/>
      <c r="S399" s="1"/>
      <c r="T399" s="1"/>
      <c r="U399" s="1"/>
    </row>
    <row r="400" ht="15.75" customHeight="1">
      <c r="A400" s="1"/>
      <c r="B400" s="1"/>
      <c r="C400" s="1"/>
      <c r="D400" s="2"/>
      <c r="E400" s="1"/>
      <c r="F400" s="1"/>
      <c r="G400" s="1"/>
      <c r="H400" s="1"/>
      <c r="I400" s="1"/>
      <c r="J400" s="1"/>
      <c r="K400" s="1"/>
      <c r="L400" s="1"/>
      <c r="M400" s="1"/>
      <c r="N400" s="1"/>
      <c r="O400" s="1"/>
      <c r="P400" s="1"/>
      <c r="Q400" s="1"/>
      <c r="R400" s="1"/>
      <c r="S400" s="1"/>
      <c r="T400" s="1"/>
      <c r="U400" s="1"/>
    </row>
    <row r="401" ht="15.75" customHeight="1">
      <c r="A401" s="1"/>
      <c r="B401" s="1"/>
      <c r="C401" s="1"/>
      <c r="D401" s="2"/>
      <c r="E401" s="1"/>
      <c r="F401" s="1"/>
      <c r="G401" s="1"/>
      <c r="H401" s="1"/>
      <c r="I401" s="1"/>
      <c r="J401" s="1"/>
      <c r="K401" s="1"/>
      <c r="L401" s="1"/>
      <c r="M401" s="1"/>
      <c r="N401" s="1"/>
      <c r="O401" s="1"/>
      <c r="P401" s="1"/>
      <c r="Q401" s="1"/>
      <c r="R401" s="1"/>
      <c r="S401" s="1"/>
      <c r="T401" s="1"/>
      <c r="U401" s="1"/>
    </row>
    <row r="402" ht="15.75" customHeight="1">
      <c r="A402" s="1"/>
      <c r="B402" s="1"/>
      <c r="C402" s="1"/>
      <c r="D402" s="2"/>
      <c r="E402" s="1"/>
      <c r="F402" s="1"/>
      <c r="G402" s="1"/>
      <c r="H402" s="1"/>
      <c r="I402" s="1"/>
      <c r="J402" s="1"/>
      <c r="K402" s="1"/>
      <c r="L402" s="1"/>
      <c r="M402" s="1"/>
      <c r="N402" s="1"/>
      <c r="O402" s="1"/>
      <c r="P402" s="1"/>
      <c r="Q402" s="1"/>
      <c r="R402" s="1"/>
      <c r="S402" s="1"/>
      <c r="T402" s="1"/>
      <c r="U402" s="1"/>
    </row>
    <row r="403" ht="15.75" customHeight="1">
      <c r="A403" s="1"/>
      <c r="B403" s="1"/>
      <c r="C403" s="1"/>
      <c r="D403" s="2"/>
      <c r="E403" s="1"/>
      <c r="F403" s="1"/>
      <c r="G403" s="1"/>
      <c r="H403" s="1"/>
      <c r="I403" s="1"/>
      <c r="J403" s="1"/>
      <c r="K403" s="1"/>
      <c r="L403" s="1"/>
      <c r="M403" s="1"/>
      <c r="N403" s="1"/>
      <c r="O403" s="1"/>
      <c r="P403" s="1"/>
      <c r="Q403" s="1"/>
      <c r="R403" s="1"/>
      <c r="S403" s="1"/>
      <c r="T403" s="1"/>
      <c r="U403" s="1"/>
    </row>
    <row r="404" ht="15.75" customHeight="1">
      <c r="A404" s="1"/>
      <c r="B404" s="1"/>
      <c r="C404" s="1"/>
      <c r="D404" s="2"/>
      <c r="E404" s="1"/>
      <c r="F404" s="1"/>
      <c r="G404" s="1"/>
      <c r="H404" s="1"/>
      <c r="I404" s="1"/>
      <c r="J404" s="1"/>
      <c r="K404" s="1"/>
      <c r="L404" s="1"/>
      <c r="M404" s="1"/>
      <c r="N404" s="1"/>
      <c r="O404" s="1"/>
      <c r="P404" s="1"/>
      <c r="Q404" s="1"/>
      <c r="R404" s="1"/>
      <c r="S404" s="1"/>
      <c r="T404" s="1"/>
      <c r="U404" s="1"/>
    </row>
    <row r="405" ht="15.75" customHeight="1">
      <c r="A405" s="1"/>
      <c r="B405" s="1"/>
      <c r="C405" s="1"/>
      <c r="D405" s="2"/>
      <c r="E405" s="1"/>
      <c r="F405" s="1"/>
      <c r="G405" s="1"/>
      <c r="H405" s="1"/>
      <c r="I405" s="1"/>
      <c r="J405" s="1"/>
      <c r="K405" s="1"/>
      <c r="L405" s="1"/>
      <c r="M405" s="1"/>
      <c r="N405" s="1"/>
      <c r="O405" s="1"/>
      <c r="P405" s="1"/>
      <c r="Q405" s="1"/>
      <c r="R405" s="1"/>
      <c r="S405" s="1"/>
      <c r="T405" s="1"/>
      <c r="U405" s="1"/>
    </row>
    <row r="406" ht="15.75" customHeight="1">
      <c r="A406" s="1"/>
      <c r="B406" s="1"/>
      <c r="C406" s="1"/>
      <c r="D406" s="2"/>
      <c r="E406" s="1"/>
      <c r="F406" s="1"/>
      <c r="G406" s="1"/>
      <c r="H406" s="1"/>
      <c r="I406" s="1"/>
      <c r="J406" s="1"/>
      <c r="K406" s="1"/>
      <c r="L406" s="1"/>
      <c r="M406" s="1"/>
      <c r="N406" s="1"/>
      <c r="O406" s="1"/>
      <c r="P406" s="1"/>
      <c r="Q406" s="1"/>
      <c r="R406" s="1"/>
      <c r="S406" s="1"/>
      <c r="T406" s="1"/>
      <c r="U406" s="1"/>
    </row>
    <row r="407" ht="15.75" customHeight="1">
      <c r="A407" s="1"/>
      <c r="B407" s="1"/>
      <c r="C407" s="1"/>
      <c r="D407" s="2"/>
      <c r="E407" s="1"/>
      <c r="F407" s="1"/>
      <c r="G407" s="1"/>
      <c r="H407" s="1"/>
      <c r="I407" s="1"/>
      <c r="J407" s="1"/>
      <c r="K407" s="1"/>
      <c r="L407" s="1"/>
      <c r="M407" s="1"/>
      <c r="N407" s="1"/>
      <c r="O407" s="1"/>
      <c r="P407" s="1"/>
      <c r="Q407" s="1"/>
      <c r="R407" s="1"/>
      <c r="S407" s="1"/>
      <c r="T407" s="1"/>
      <c r="U407" s="1"/>
    </row>
    <row r="408" ht="15.75" customHeight="1">
      <c r="A408" s="1"/>
      <c r="B408" s="1"/>
      <c r="C408" s="1"/>
      <c r="D408" s="2"/>
      <c r="E408" s="1"/>
      <c r="F408" s="1"/>
      <c r="G408" s="1"/>
      <c r="H408" s="1"/>
      <c r="I408" s="1"/>
      <c r="J408" s="1"/>
      <c r="K408" s="1"/>
      <c r="L408" s="1"/>
      <c r="M408" s="1"/>
      <c r="N408" s="1"/>
      <c r="O408" s="1"/>
      <c r="P408" s="1"/>
      <c r="Q408" s="1"/>
      <c r="R408" s="1"/>
      <c r="S408" s="1"/>
      <c r="T408" s="1"/>
      <c r="U408" s="1"/>
    </row>
    <row r="409" ht="15.75" customHeight="1">
      <c r="A409" s="1"/>
      <c r="B409" s="1"/>
      <c r="C409" s="1"/>
      <c r="D409" s="2"/>
      <c r="E409" s="1"/>
      <c r="F409" s="1"/>
      <c r="G409" s="1"/>
      <c r="H409" s="1"/>
      <c r="I409" s="1"/>
      <c r="J409" s="1"/>
      <c r="K409" s="1"/>
      <c r="L409" s="1"/>
      <c r="M409" s="1"/>
      <c r="N409" s="1"/>
      <c r="O409" s="1"/>
      <c r="P409" s="1"/>
      <c r="Q409" s="1"/>
      <c r="R409" s="1"/>
      <c r="S409" s="1"/>
      <c r="T409" s="1"/>
      <c r="U409" s="1"/>
    </row>
    <row r="410" ht="15.75" customHeight="1">
      <c r="A410" s="1"/>
      <c r="B410" s="1"/>
      <c r="C410" s="1"/>
      <c r="D410" s="2"/>
      <c r="E410" s="1"/>
      <c r="F410" s="1"/>
      <c r="G410" s="1"/>
      <c r="H410" s="1"/>
      <c r="I410" s="1"/>
      <c r="J410" s="1"/>
      <c r="K410" s="1"/>
      <c r="L410" s="1"/>
      <c r="M410" s="1"/>
      <c r="N410" s="1"/>
      <c r="O410" s="1"/>
      <c r="P410" s="1"/>
      <c r="Q410" s="1"/>
      <c r="R410" s="1"/>
      <c r="S410" s="1"/>
      <c r="T410" s="1"/>
      <c r="U410" s="1"/>
    </row>
    <row r="411" ht="15.75" customHeight="1">
      <c r="A411" s="1"/>
      <c r="B411" s="1"/>
      <c r="C411" s="1"/>
      <c r="D411" s="2"/>
      <c r="E411" s="1"/>
      <c r="F411" s="1"/>
      <c r="G411" s="1"/>
      <c r="H411" s="1"/>
      <c r="I411" s="1"/>
      <c r="J411" s="1"/>
      <c r="K411" s="1"/>
      <c r="L411" s="1"/>
      <c r="M411" s="1"/>
      <c r="N411" s="1"/>
      <c r="O411" s="1"/>
      <c r="P411" s="1"/>
      <c r="Q411" s="1"/>
      <c r="R411" s="1"/>
      <c r="S411" s="1"/>
      <c r="T411" s="1"/>
      <c r="U411" s="1"/>
    </row>
    <row r="412" ht="15.75" customHeight="1">
      <c r="A412" s="1"/>
      <c r="B412" s="1"/>
      <c r="C412" s="1"/>
      <c r="D412" s="2"/>
      <c r="E412" s="1"/>
      <c r="F412" s="1"/>
      <c r="G412" s="1"/>
      <c r="H412" s="1"/>
      <c r="I412" s="1"/>
      <c r="J412" s="1"/>
      <c r="K412" s="1"/>
      <c r="L412" s="1"/>
      <c r="M412" s="1"/>
      <c r="N412" s="1"/>
      <c r="O412" s="1"/>
      <c r="P412" s="1"/>
      <c r="Q412" s="1"/>
      <c r="R412" s="1"/>
      <c r="S412" s="1"/>
      <c r="T412" s="1"/>
      <c r="U412" s="1"/>
    </row>
    <row r="413" ht="15.75" customHeight="1">
      <c r="A413" s="1"/>
      <c r="B413" s="1"/>
      <c r="C413" s="1"/>
      <c r="D413" s="2"/>
      <c r="E413" s="1"/>
      <c r="F413" s="1"/>
      <c r="G413" s="1"/>
      <c r="H413" s="1"/>
      <c r="I413" s="1"/>
      <c r="J413" s="1"/>
      <c r="K413" s="1"/>
      <c r="L413" s="1"/>
      <c r="M413" s="1"/>
      <c r="N413" s="1"/>
      <c r="O413" s="1"/>
      <c r="P413" s="1"/>
      <c r="Q413" s="1"/>
      <c r="R413" s="1"/>
      <c r="S413" s="1"/>
      <c r="T413" s="1"/>
      <c r="U413" s="1"/>
    </row>
    <row r="414" ht="15.75" customHeight="1">
      <c r="A414" s="1"/>
      <c r="B414" s="1"/>
      <c r="C414" s="1"/>
      <c r="D414" s="2"/>
      <c r="E414" s="1"/>
      <c r="F414" s="1"/>
      <c r="G414" s="1"/>
      <c r="H414" s="1"/>
      <c r="I414" s="1"/>
      <c r="J414" s="1"/>
      <c r="K414" s="1"/>
      <c r="L414" s="1"/>
      <c r="M414" s="1"/>
      <c r="N414" s="1"/>
      <c r="O414" s="1"/>
      <c r="P414" s="1"/>
      <c r="Q414" s="1"/>
      <c r="R414" s="1"/>
      <c r="S414" s="1"/>
      <c r="T414" s="1"/>
      <c r="U414" s="1"/>
    </row>
    <row r="415" ht="15.75" customHeight="1">
      <c r="A415" s="1"/>
      <c r="B415" s="1"/>
      <c r="C415" s="1"/>
      <c r="D415" s="2"/>
      <c r="E415" s="1"/>
      <c r="F415" s="1"/>
      <c r="G415" s="1"/>
      <c r="H415" s="1"/>
      <c r="I415" s="1"/>
      <c r="J415" s="1"/>
      <c r="K415" s="1"/>
      <c r="L415" s="1"/>
      <c r="M415" s="1"/>
      <c r="N415" s="1"/>
      <c r="O415" s="1"/>
      <c r="P415" s="1"/>
      <c r="Q415" s="1"/>
      <c r="R415" s="1"/>
      <c r="S415" s="1"/>
      <c r="T415" s="1"/>
      <c r="U415" s="1"/>
    </row>
    <row r="416" ht="15.75" customHeight="1">
      <c r="A416" s="1"/>
      <c r="B416" s="1"/>
      <c r="C416" s="1"/>
      <c r="D416" s="2"/>
      <c r="E416" s="1"/>
      <c r="F416" s="1"/>
      <c r="G416" s="1"/>
      <c r="H416" s="1"/>
      <c r="I416" s="1"/>
      <c r="J416" s="1"/>
      <c r="K416" s="1"/>
      <c r="L416" s="1"/>
      <c r="M416" s="1"/>
      <c r="N416" s="1"/>
      <c r="O416" s="1"/>
      <c r="P416" s="1"/>
      <c r="Q416" s="1"/>
      <c r="R416" s="1"/>
      <c r="S416" s="1"/>
      <c r="T416" s="1"/>
      <c r="U416" s="1"/>
    </row>
    <row r="417" ht="15.75" customHeight="1">
      <c r="A417" s="1"/>
      <c r="B417" s="1"/>
      <c r="C417" s="1"/>
      <c r="D417" s="2"/>
      <c r="E417" s="1"/>
      <c r="F417" s="1"/>
      <c r="G417" s="1"/>
      <c r="H417" s="1"/>
      <c r="I417" s="1"/>
      <c r="J417" s="1"/>
      <c r="K417" s="1"/>
      <c r="L417" s="1"/>
      <c r="M417" s="1"/>
      <c r="N417" s="1"/>
      <c r="O417" s="1"/>
      <c r="P417" s="1"/>
      <c r="Q417" s="1"/>
      <c r="R417" s="1"/>
      <c r="S417" s="1"/>
      <c r="T417" s="1"/>
      <c r="U417" s="1"/>
    </row>
    <row r="418" ht="15.75" customHeight="1">
      <c r="A418" s="1"/>
      <c r="B418" s="1"/>
      <c r="C418" s="1"/>
      <c r="D418" s="2"/>
      <c r="E418" s="1"/>
      <c r="F418" s="1"/>
      <c r="G418" s="1"/>
      <c r="H418" s="1"/>
      <c r="I418" s="1"/>
      <c r="J418" s="1"/>
      <c r="K418" s="1"/>
      <c r="L418" s="1"/>
      <c r="M418" s="1"/>
      <c r="N418" s="1"/>
      <c r="O418" s="1"/>
      <c r="P418" s="1"/>
      <c r="Q418" s="1"/>
      <c r="R418" s="1"/>
      <c r="S418" s="1"/>
      <c r="T418" s="1"/>
      <c r="U418" s="1"/>
    </row>
    <row r="419" ht="15.75" customHeight="1">
      <c r="A419" s="1"/>
      <c r="B419" s="1"/>
      <c r="C419" s="1"/>
      <c r="D419" s="2"/>
      <c r="E419" s="1"/>
      <c r="F419" s="1"/>
      <c r="G419" s="1"/>
      <c r="H419" s="1"/>
      <c r="I419" s="1"/>
      <c r="J419" s="1"/>
      <c r="K419" s="1"/>
      <c r="L419" s="1"/>
      <c r="M419" s="1"/>
      <c r="N419" s="1"/>
      <c r="O419" s="1"/>
      <c r="P419" s="1"/>
      <c r="Q419" s="1"/>
      <c r="R419" s="1"/>
      <c r="S419" s="1"/>
      <c r="T419" s="1"/>
      <c r="U419" s="1"/>
    </row>
    <row r="420" ht="15.75" customHeight="1">
      <c r="A420" s="1"/>
      <c r="B420" s="1"/>
      <c r="C420" s="1"/>
      <c r="D420" s="2"/>
      <c r="E420" s="1"/>
      <c r="F420" s="1"/>
      <c r="G420" s="1"/>
      <c r="H420" s="1"/>
      <c r="I420" s="1"/>
      <c r="J420" s="1"/>
      <c r="K420" s="1"/>
      <c r="L420" s="1"/>
      <c r="M420" s="1"/>
      <c r="N420" s="1"/>
      <c r="O420" s="1"/>
      <c r="P420" s="1"/>
      <c r="Q420" s="1"/>
      <c r="R420" s="1"/>
      <c r="S420" s="1"/>
      <c r="T420" s="1"/>
      <c r="U420" s="1"/>
    </row>
    <row r="421" ht="15.75" customHeight="1">
      <c r="A421" s="1"/>
      <c r="B421" s="1"/>
      <c r="C421" s="1"/>
      <c r="D421" s="2"/>
      <c r="E421" s="1"/>
      <c r="F421" s="1"/>
      <c r="G421" s="1"/>
      <c r="H421" s="1"/>
      <c r="I421" s="1"/>
      <c r="J421" s="1"/>
      <c r="K421" s="1"/>
      <c r="L421" s="1"/>
      <c r="M421" s="1"/>
      <c r="N421" s="1"/>
      <c r="O421" s="1"/>
      <c r="P421" s="1"/>
      <c r="Q421" s="1"/>
      <c r="R421" s="1"/>
      <c r="S421" s="1"/>
      <c r="T421" s="1"/>
      <c r="U421" s="1"/>
    </row>
    <row r="422" ht="15.75" customHeight="1">
      <c r="A422" s="1"/>
      <c r="B422" s="1"/>
      <c r="C422" s="1"/>
      <c r="D422" s="2"/>
      <c r="E422" s="1"/>
      <c r="F422" s="1"/>
      <c r="G422" s="1"/>
      <c r="H422" s="1"/>
      <c r="I422" s="1"/>
      <c r="J422" s="1"/>
      <c r="K422" s="1"/>
      <c r="L422" s="1"/>
      <c r="M422" s="1"/>
      <c r="N422" s="1"/>
      <c r="O422" s="1"/>
      <c r="P422" s="1"/>
      <c r="Q422" s="1"/>
      <c r="R422" s="1"/>
      <c r="S422" s="1"/>
      <c r="T422" s="1"/>
      <c r="U422" s="1"/>
    </row>
    <row r="423" ht="15.75" customHeight="1">
      <c r="A423" s="1"/>
      <c r="B423" s="1"/>
      <c r="C423" s="1"/>
      <c r="D423" s="2"/>
      <c r="E423" s="1"/>
      <c r="F423" s="1"/>
      <c r="G423" s="1"/>
      <c r="H423" s="1"/>
      <c r="I423" s="1"/>
      <c r="J423" s="1"/>
      <c r="K423" s="1"/>
      <c r="L423" s="1"/>
      <c r="M423" s="1"/>
      <c r="N423" s="1"/>
      <c r="O423" s="1"/>
      <c r="P423" s="1"/>
      <c r="Q423" s="1"/>
      <c r="R423" s="1"/>
      <c r="S423" s="1"/>
      <c r="T423" s="1"/>
      <c r="U423" s="1"/>
    </row>
    <row r="424" ht="15.75" customHeight="1">
      <c r="A424" s="1"/>
      <c r="B424" s="1"/>
      <c r="C424" s="1"/>
      <c r="D424" s="2"/>
      <c r="E424" s="1"/>
      <c r="F424" s="1"/>
      <c r="G424" s="1"/>
      <c r="H424" s="1"/>
      <c r="I424" s="1"/>
      <c r="J424" s="1"/>
      <c r="K424" s="1"/>
      <c r="L424" s="1"/>
      <c r="M424" s="1"/>
      <c r="N424" s="1"/>
      <c r="O424" s="1"/>
      <c r="P424" s="1"/>
      <c r="Q424" s="1"/>
      <c r="R424" s="1"/>
      <c r="S424" s="1"/>
      <c r="T424" s="1"/>
      <c r="U424" s="1"/>
    </row>
    <row r="425" ht="15.75" customHeight="1">
      <c r="A425" s="1"/>
      <c r="B425" s="1"/>
      <c r="C425" s="1"/>
      <c r="D425" s="2"/>
      <c r="E425" s="1"/>
      <c r="F425" s="1"/>
      <c r="G425" s="1"/>
      <c r="H425" s="1"/>
      <c r="I425" s="1"/>
      <c r="J425" s="1"/>
      <c r="K425" s="1"/>
      <c r="L425" s="1"/>
      <c r="M425" s="1"/>
      <c r="N425" s="1"/>
      <c r="O425" s="1"/>
      <c r="P425" s="1"/>
      <c r="Q425" s="1"/>
      <c r="R425" s="1"/>
      <c r="S425" s="1"/>
      <c r="T425" s="1"/>
      <c r="U425" s="1"/>
    </row>
    <row r="426" ht="15.75" customHeight="1">
      <c r="A426" s="1"/>
      <c r="B426" s="1"/>
      <c r="C426" s="1"/>
      <c r="D426" s="2"/>
      <c r="E426" s="1"/>
      <c r="F426" s="1"/>
      <c r="G426" s="1"/>
      <c r="H426" s="1"/>
      <c r="I426" s="1"/>
      <c r="J426" s="1"/>
      <c r="K426" s="1"/>
      <c r="L426" s="1"/>
      <c r="M426" s="1"/>
      <c r="N426" s="1"/>
      <c r="O426" s="1"/>
      <c r="P426" s="1"/>
      <c r="Q426" s="1"/>
      <c r="R426" s="1"/>
      <c r="S426" s="1"/>
      <c r="T426" s="1"/>
      <c r="U426" s="1"/>
    </row>
    <row r="427" ht="15.75" customHeight="1">
      <c r="A427" s="1"/>
      <c r="B427" s="1"/>
      <c r="C427" s="1"/>
      <c r="D427" s="2"/>
      <c r="E427" s="1"/>
      <c r="F427" s="1"/>
      <c r="G427" s="1"/>
      <c r="H427" s="1"/>
      <c r="I427" s="1"/>
      <c r="J427" s="1"/>
      <c r="K427" s="1"/>
      <c r="L427" s="1"/>
      <c r="M427" s="1"/>
      <c r="N427" s="1"/>
      <c r="O427" s="1"/>
      <c r="P427" s="1"/>
      <c r="Q427" s="1"/>
      <c r="R427" s="1"/>
      <c r="S427" s="1"/>
      <c r="T427" s="1"/>
      <c r="U427" s="1"/>
    </row>
    <row r="428" ht="15.75" customHeight="1">
      <c r="A428" s="1"/>
      <c r="B428" s="1"/>
      <c r="C428" s="1"/>
      <c r="D428" s="2"/>
      <c r="E428" s="1"/>
      <c r="F428" s="1"/>
      <c r="G428" s="1"/>
      <c r="H428" s="1"/>
      <c r="I428" s="1"/>
      <c r="J428" s="1"/>
      <c r="K428" s="1"/>
      <c r="L428" s="1"/>
      <c r="M428" s="1"/>
      <c r="N428" s="1"/>
      <c r="O428" s="1"/>
      <c r="P428" s="1"/>
      <c r="Q428" s="1"/>
      <c r="R428" s="1"/>
      <c r="S428" s="1"/>
      <c r="T428" s="1"/>
      <c r="U428" s="1"/>
    </row>
    <row r="429" ht="15.75" customHeight="1">
      <c r="A429" s="1"/>
      <c r="B429" s="1"/>
      <c r="C429" s="1"/>
      <c r="D429" s="2"/>
      <c r="E429" s="1"/>
      <c r="F429" s="1"/>
      <c r="G429" s="1"/>
      <c r="H429" s="1"/>
      <c r="I429" s="1"/>
      <c r="J429" s="1"/>
      <c r="K429" s="1"/>
      <c r="L429" s="1"/>
      <c r="M429" s="1"/>
      <c r="N429" s="1"/>
      <c r="O429" s="1"/>
      <c r="P429" s="1"/>
      <c r="Q429" s="1"/>
      <c r="R429" s="1"/>
      <c r="S429" s="1"/>
      <c r="T429" s="1"/>
      <c r="U429" s="1"/>
    </row>
    <row r="430" ht="15.75" customHeight="1">
      <c r="A430" s="1"/>
      <c r="B430" s="1"/>
      <c r="C430" s="1"/>
      <c r="D430" s="2"/>
      <c r="E430" s="1"/>
      <c r="F430" s="1"/>
      <c r="G430" s="1"/>
      <c r="H430" s="1"/>
      <c r="I430" s="1"/>
      <c r="J430" s="1"/>
      <c r="K430" s="1"/>
      <c r="L430" s="1"/>
      <c r="M430" s="1"/>
      <c r="N430" s="1"/>
      <c r="O430" s="1"/>
      <c r="P430" s="1"/>
      <c r="Q430" s="1"/>
      <c r="R430" s="1"/>
      <c r="S430" s="1"/>
      <c r="T430" s="1"/>
      <c r="U430" s="1"/>
    </row>
    <row r="431" ht="15.75" customHeight="1">
      <c r="A431" s="1"/>
      <c r="B431" s="1"/>
      <c r="C431" s="1"/>
      <c r="D431" s="2"/>
      <c r="E431" s="1"/>
      <c r="F431" s="1"/>
      <c r="G431" s="1"/>
      <c r="H431" s="1"/>
      <c r="I431" s="1"/>
      <c r="J431" s="1"/>
      <c r="K431" s="1"/>
      <c r="L431" s="1"/>
      <c r="M431" s="1"/>
      <c r="N431" s="1"/>
      <c r="O431" s="1"/>
      <c r="P431" s="1"/>
      <c r="Q431" s="1"/>
      <c r="R431" s="1"/>
      <c r="S431" s="1"/>
      <c r="T431" s="1"/>
      <c r="U431" s="1"/>
    </row>
    <row r="432" ht="15.75" customHeight="1">
      <c r="A432" s="1"/>
      <c r="B432" s="1"/>
      <c r="C432" s="1"/>
      <c r="D432" s="2"/>
      <c r="E432" s="1"/>
      <c r="F432" s="1"/>
      <c r="G432" s="1"/>
      <c r="H432" s="1"/>
      <c r="I432" s="1"/>
      <c r="J432" s="1"/>
      <c r="K432" s="1"/>
      <c r="L432" s="1"/>
      <c r="M432" s="1"/>
      <c r="N432" s="1"/>
      <c r="O432" s="1"/>
      <c r="P432" s="1"/>
      <c r="Q432" s="1"/>
      <c r="R432" s="1"/>
      <c r="S432" s="1"/>
      <c r="T432" s="1"/>
      <c r="U432" s="1"/>
    </row>
    <row r="433" ht="15.75" customHeight="1">
      <c r="A433" s="1"/>
      <c r="B433" s="1"/>
      <c r="C433" s="1"/>
      <c r="D433" s="2"/>
      <c r="E433" s="1"/>
      <c r="F433" s="1"/>
      <c r="G433" s="1"/>
      <c r="H433" s="1"/>
      <c r="I433" s="1"/>
      <c r="J433" s="1"/>
      <c r="K433" s="1"/>
      <c r="L433" s="1"/>
      <c r="M433" s="1"/>
      <c r="N433" s="1"/>
      <c r="O433" s="1"/>
      <c r="P433" s="1"/>
      <c r="Q433" s="1"/>
      <c r="R433" s="1"/>
      <c r="S433" s="1"/>
      <c r="T433" s="1"/>
      <c r="U433" s="1"/>
    </row>
    <row r="434" ht="15.75" customHeight="1">
      <c r="A434" s="1"/>
      <c r="B434" s="1"/>
      <c r="C434" s="1"/>
      <c r="D434" s="2"/>
      <c r="E434" s="1"/>
      <c r="F434" s="1"/>
      <c r="G434" s="1"/>
      <c r="H434" s="1"/>
      <c r="I434" s="1"/>
      <c r="J434" s="1"/>
      <c r="K434" s="1"/>
      <c r="L434" s="1"/>
      <c r="M434" s="1"/>
      <c r="N434" s="1"/>
      <c r="O434" s="1"/>
      <c r="P434" s="1"/>
      <c r="Q434" s="1"/>
      <c r="R434" s="1"/>
      <c r="S434" s="1"/>
      <c r="T434" s="1"/>
      <c r="U434" s="1"/>
    </row>
    <row r="435" ht="15.75" customHeight="1">
      <c r="A435" s="1"/>
      <c r="B435" s="1"/>
      <c r="C435" s="1"/>
      <c r="D435" s="2"/>
      <c r="E435" s="1"/>
      <c r="F435" s="1"/>
      <c r="G435" s="1"/>
      <c r="H435" s="1"/>
      <c r="I435" s="1"/>
      <c r="J435" s="1"/>
      <c r="K435" s="1"/>
      <c r="L435" s="1"/>
      <c r="M435" s="1"/>
      <c r="N435" s="1"/>
      <c r="O435" s="1"/>
      <c r="P435" s="1"/>
      <c r="Q435" s="1"/>
      <c r="R435" s="1"/>
      <c r="S435" s="1"/>
      <c r="T435" s="1"/>
      <c r="U435" s="1"/>
    </row>
    <row r="436" ht="15.75" customHeight="1">
      <c r="A436" s="1"/>
      <c r="B436" s="1"/>
      <c r="C436" s="1"/>
      <c r="D436" s="2"/>
      <c r="E436" s="1"/>
      <c r="F436" s="1"/>
      <c r="G436" s="1"/>
      <c r="H436" s="1"/>
      <c r="I436" s="1"/>
      <c r="J436" s="1"/>
      <c r="K436" s="1"/>
      <c r="L436" s="1"/>
      <c r="M436" s="1"/>
      <c r="N436" s="1"/>
      <c r="O436" s="1"/>
      <c r="P436" s="1"/>
      <c r="Q436" s="1"/>
      <c r="R436" s="1"/>
      <c r="S436" s="1"/>
      <c r="T436" s="1"/>
      <c r="U436" s="1"/>
    </row>
    <row r="437" ht="15.75" customHeight="1">
      <c r="A437" s="1"/>
      <c r="B437" s="1"/>
      <c r="C437" s="1"/>
      <c r="D437" s="2"/>
      <c r="E437" s="1"/>
      <c r="F437" s="1"/>
      <c r="G437" s="1"/>
      <c r="H437" s="1"/>
      <c r="I437" s="1"/>
      <c r="J437" s="1"/>
      <c r="K437" s="1"/>
      <c r="L437" s="1"/>
      <c r="M437" s="1"/>
      <c r="N437" s="1"/>
      <c r="O437" s="1"/>
      <c r="P437" s="1"/>
      <c r="Q437" s="1"/>
      <c r="R437" s="1"/>
      <c r="S437" s="1"/>
      <c r="T437" s="1"/>
      <c r="U437" s="1"/>
    </row>
    <row r="438" ht="15.75" customHeight="1">
      <c r="A438" s="1"/>
      <c r="B438" s="1"/>
      <c r="C438" s="1"/>
      <c r="D438" s="2"/>
      <c r="E438" s="1"/>
      <c r="F438" s="1"/>
      <c r="G438" s="1"/>
      <c r="H438" s="1"/>
      <c r="I438" s="1"/>
      <c r="J438" s="1"/>
      <c r="K438" s="1"/>
      <c r="L438" s="1"/>
      <c r="M438" s="1"/>
      <c r="N438" s="1"/>
      <c r="O438" s="1"/>
      <c r="P438" s="1"/>
      <c r="Q438" s="1"/>
      <c r="R438" s="1"/>
      <c r="S438" s="1"/>
      <c r="T438" s="1"/>
      <c r="U438" s="1"/>
    </row>
    <row r="439" ht="15.75" customHeight="1">
      <c r="A439" s="1"/>
      <c r="B439" s="1"/>
      <c r="C439" s="1"/>
      <c r="D439" s="2"/>
      <c r="E439" s="1"/>
      <c r="F439" s="1"/>
      <c r="G439" s="1"/>
      <c r="H439" s="1"/>
      <c r="I439" s="1"/>
      <c r="J439" s="1"/>
      <c r="K439" s="1"/>
      <c r="L439" s="1"/>
      <c r="M439" s="1"/>
      <c r="N439" s="1"/>
      <c r="O439" s="1"/>
      <c r="P439" s="1"/>
      <c r="Q439" s="1"/>
      <c r="R439" s="1"/>
      <c r="S439" s="1"/>
      <c r="T439" s="1"/>
      <c r="U439" s="1"/>
    </row>
    <row r="440" ht="15.75" customHeight="1">
      <c r="A440" s="1"/>
      <c r="B440" s="1"/>
      <c r="C440" s="1"/>
      <c r="D440" s="2"/>
      <c r="E440" s="1"/>
      <c r="F440" s="1"/>
      <c r="G440" s="1"/>
      <c r="H440" s="1"/>
      <c r="I440" s="1"/>
      <c r="J440" s="1"/>
      <c r="K440" s="1"/>
      <c r="L440" s="1"/>
      <c r="M440" s="1"/>
      <c r="N440" s="1"/>
      <c r="O440" s="1"/>
      <c r="P440" s="1"/>
      <c r="Q440" s="1"/>
      <c r="R440" s="1"/>
      <c r="S440" s="1"/>
      <c r="T440" s="1"/>
      <c r="U440" s="1"/>
    </row>
    <row r="441" ht="15.75" customHeight="1">
      <c r="A441" s="1"/>
      <c r="B441" s="1"/>
      <c r="C441" s="1"/>
      <c r="D441" s="2"/>
      <c r="E441" s="1"/>
      <c r="F441" s="1"/>
      <c r="G441" s="1"/>
      <c r="H441" s="1"/>
      <c r="I441" s="1"/>
      <c r="J441" s="1"/>
      <c r="K441" s="1"/>
      <c r="L441" s="1"/>
      <c r="M441" s="1"/>
      <c r="N441" s="1"/>
      <c r="O441" s="1"/>
      <c r="P441" s="1"/>
      <c r="Q441" s="1"/>
      <c r="R441" s="1"/>
      <c r="S441" s="1"/>
      <c r="T441" s="1"/>
      <c r="U441" s="1"/>
    </row>
    <row r="442" ht="15.75" customHeight="1">
      <c r="A442" s="1"/>
      <c r="B442" s="1"/>
      <c r="C442" s="1"/>
      <c r="D442" s="2"/>
      <c r="E442" s="1"/>
      <c r="F442" s="1"/>
      <c r="G442" s="1"/>
      <c r="H442" s="1"/>
      <c r="I442" s="1"/>
      <c r="J442" s="1"/>
      <c r="K442" s="1"/>
      <c r="L442" s="1"/>
      <c r="M442" s="1"/>
      <c r="N442" s="1"/>
      <c r="O442" s="1"/>
      <c r="P442" s="1"/>
      <c r="Q442" s="1"/>
      <c r="R442" s="1"/>
      <c r="S442" s="1"/>
      <c r="T442" s="1"/>
      <c r="U442" s="1"/>
    </row>
    <row r="443" ht="15.75" customHeight="1">
      <c r="A443" s="1"/>
      <c r="B443" s="1"/>
      <c r="C443" s="1"/>
      <c r="D443" s="2"/>
      <c r="E443" s="1"/>
      <c r="F443" s="1"/>
      <c r="G443" s="1"/>
      <c r="H443" s="1"/>
      <c r="I443" s="1"/>
      <c r="J443" s="1"/>
      <c r="K443" s="1"/>
      <c r="L443" s="1"/>
      <c r="M443" s="1"/>
      <c r="N443" s="1"/>
      <c r="O443" s="1"/>
      <c r="P443" s="1"/>
      <c r="Q443" s="1"/>
      <c r="R443" s="1"/>
      <c r="S443" s="1"/>
      <c r="T443" s="1"/>
      <c r="U443" s="1"/>
    </row>
    <row r="444" ht="15.75" customHeight="1">
      <c r="A444" s="1"/>
      <c r="B444" s="1"/>
      <c r="C444" s="1"/>
      <c r="D444" s="2"/>
      <c r="E444" s="1"/>
      <c r="F444" s="1"/>
      <c r="G444" s="1"/>
      <c r="H444" s="1"/>
      <c r="I444" s="1"/>
      <c r="J444" s="1"/>
      <c r="K444" s="1"/>
      <c r="L444" s="1"/>
      <c r="M444" s="1"/>
      <c r="N444" s="1"/>
      <c r="O444" s="1"/>
      <c r="P444" s="1"/>
      <c r="Q444" s="1"/>
      <c r="R444" s="1"/>
      <c r="S444" s="1"/>
      <c r="T444" s="1"/>
      <c r="U444" s="1"/>
    </row>
    <row r="445" ht="15.75" customHeight="1">
      <c r="A445" s="1"/>
      <c r="B445" s="1"/>
      <c r="C445" s="1"/>
      <c r="D445" s="2"/>
      <c r="E445" s="1"/>
      <c r="F445" s="1"/>
      <c r="G445" s="1"/>
      <c r="H445" s="1"/>
      <c r="I445" s="1"/>
      <c r="J445" s="1"/>
      <c r="K445" s="1"/>
      <c r="L445" s="1"/>
      <c r="M445" s="1"/>
      <c r="N445" s="1"/>
      <c r="O445" s="1"/>
      <c r="P445" s="1"/>
      <c r="Q445" s="1"/>
      <c r="R445" s="1"/>
      <c r="S445" s="1"/>
      <c r="T445" s="1"/>
      <c r="U445" s="1"/>
    </row>
    <row r="446" ht="15.75" customHeight="1">
      <c r="A446" s="1"/>
      <c r="B446" s="1"/>
      <c r="C446" s="1"/>
      <c r="D446" s="2"/>
      <c r="E446" s="1"/>
      <c r="F446" s="1"/>
      <c r="G446" s="1"/>
      <c r="H446" s="1"/>
      <c r="I446" s="1"/>
      <c r="J446" s="1"/>
      <c r="K446" s="1"/>
      <c r="L446" s="1"/>
      <c r="M446" s="1"/>
      <c r="N446" s="1"/>
      <c r="O446" s="1"/>
      <c r="P446" s="1"/>
      <c r="Q446" s="1"/>
      <c r="R446" s="1"/>
      <c r="S446" s="1"/>
      <c r="T446" s="1"/>
      <c r="U446" s="1"/>
    </row>
    <row r="447" ht="15.75" customHeight="1">
      <c r="A447" s="1"/>
      <c r="B447" s="1"/>
      <c r="C447" s="1"/>
      <c r="D447" s="2"/>
      <c r="E447" s="1"/>
      <c r="F447" s="1"/>
      <c r="G447" s="1"/>
      <c r="H447" s="1"/>
      <c r="I447" s="1"/>
      <c r="J447" s="1"/>
      <c r="K447" s="1"/>
      <c r="L447" s="1"/>
      <c r="M447" s="1"/>
      <c r="N447" s="1"/>
      <c r="O447" s="1"/>
      <c r="P447" s="1"/>
      <c r="Q447" s="1"/>
      <c r="R447" s="1"/>
      <c r="S447" s="1"/>
      <c r="T447" s="1"/>
      <c r="U447" s="1"/>
    </row>
    <row r="448" ht="15.75" customHeight="1">
      <c r="A448" s="1"/>
      <c r="B448" s="1"/>
      <c r="C448" s="1"/>
      <c r="D448" s="2"/>
      <c r="E448" s="1"/>
      <c r="F448" s="1"/>
      <c r="G448" s="1"/>
      <c r="H448" s="1"/>
      <c r="I448" s="1"/>
      <c r="J448" s="1"/>
      <c r="K448" s="1"/>
      <c r="L448" s="1"/>
      <c r="M448" s="1"/>
      <c r="N448" s="1"/>
      <c r="O448" s="1"/>
      <c r="P448" s="1"/>
      <c r="Q448" s="1"/>
      <c r="R448" s="1"/>
      <c r="S448" s="1"/>
      <c r="T448" s="1"/>
      <c r="U448" s="1"/>
    </row>
    <row r="449" ht="15.75" customHeight="1">
      <c r="A449" s="1"/>
      <c r="B449" s="1"/>
      <c r="C449" s="1"/>
      <c r="D449" s="2"/>
      <c r="E449" s="1"/>
      <c r="F449" s="1"/>
      <c r="G449" s="1"/>
      <c r="H449" s="1"/>
      <c r="I449" s="1"/>
      <c r="J449" s="1"/>
      <c r="K449" s="1"/>
      <c r="L449" s="1"/>
      <c r="M449" s="1"/>
      <c r="N449" s="1"/>
      <c r="O449" s="1"/>
      <c r="P449" s="1"/>
      <c r="Q449" s="1"/>
      <c r="R449" s="1"/>
      <c r="S449" s="1"/>
      <c r="T449" s="1"/>
      <c r="U449" s="1"/>
    </row>
    <row r="450" ht="15.75" customHeight="1">
      <c r="A450" s="1"/>
      <c r="B450" s="1"/>
      <c r="C450" s="1"/>
      <c r="D450" s="2"/>
      <c r="E450" s="1"/>
      <c r="F450" s="1"/>
      <c r="G450" s="1"/>
      <c r="H450" s="1"/>
      <c r="I450" s="1"/>
      <c r="J450" s="1"/>
      <c r="K450" s="1"/>
      <c r="L450" s="1"/>
      <c r="M450" s="1"/>
      <c r="N450" s="1"/>
      <c r="O450" s="1"/>
      <c r="P450" s="1"/>
      <c r="Q450" s="1"/>
      <c r="R450" s="1"/>
      <c r="S450" s="1"/>
      <c r="T450" s="1"/>
      <c r="U450" s="1"/>
    </row>
    <row r="451" ht="15.75" customHeight="1">
      <c r="A451" s="1"/>
      <c r="B451" s="1"/>
      <c r="C451" s="1"/>
      <c r="D451" s="2"/>
      <c r="E451" s="1"/>
      <c r="F451" s="1"/>
      <c r="G451" s="1"/>
      <c r="H451" s="1"/>
      <c r="I451" s="1"/>
      <c r="J451" s="1"/>
      <c r="K451" s="1"/>
      <c r="L451" s="1"/>
      <c r="M451" s="1"/>
      <c r="N451" s="1"/>
      <c r="O451" s="1"/>
      <c r="P451" s="1"/>
      <c r="Q451" s="1"/>
      <c r="R451" s="1"/>
      <c r="S451" s="1"/>
      <c r="T451" s="1"/>
      <c r="U451" s="1"/>
    </row>
    <row r="452" ht="15.75" customHeight="1">
      <c r="A452" s="1"/>
      <c r="B452" s="1"/>
      <c r="C452" s="1"/>
      <c r="D452" s="2"/>
      <c r="E452" s="1"/>
      <c r="F452" s="1"/>
      <c r="G452" s="1"/>
      <c r="H452" s="1"/>
      <c r="I452" s="1"/>
      <c r="J452" s="1"/>
      <c r="K452" s="1"/>
      <c r="L452" s="1"/>
      <c r="M452" s="1"/>
      <c r="N452" s="1"/>
      <c r="O452" s="1"/>
      <c r="P452" s="1"/>
      <c r="Q452" s="1"/>
      <c r="R452" s="1"/>
      <c r="S452" s="1"/>
      <c r="T452" s="1"/>
      <c r="U452" s="1"/>
    </row>
    <row r="453" ht="15.75" customHeight="1">
      <c r="A453" s="1"/>
      <c r="B453" s="1"/>
      <c r="C453" s="1"/>
      <c r="D453" s="2"/>
      <c r="E453" s="1"/>
      <c r="F453" s="1"/>
      <c r="G453" s="1"/>
      <c r="H453" s="1"/>
      <c r="I453" s="1"/>
      <c r="J453" s="1"/>
      <c r="K453" s="1"/>
      <c r="L453" s="1"/>
      <c r="M453" s="1"/>
      <c r="N453" s="1"/>
      <c r="O453" s="1"/>
      <c r="P453" s="1"/>
      <c r="Q453" s="1"/>
      <c r="R453" s="1"/>
      <c r="S453" s="1"/>
      <c r="T453" s="1"/>
      <c r="U453" s="1"/>
    </row>
    <row r="454" ht="15.75" customHeight="1">
      <c r="A454" s="1"/>
      <c r="B454" s="1"/>
      <c r="C454" s="1"/>
      <c r="D454" s="2"/>
      <c r="E454" s="1"/>
      <c r="F454" s="1"/>
      <c r="G454" s="1"/>
      <c r="H454" s="1"/>
      <c r="I454" s="1"/>
      <c r="J454" s="1"/>
      <c r="K454" s="1"/>
      <c r="L454" s="1"/>
      <c r="M454" s="1"/>
      <c r="N454" s="1"/>
      <c r="O454" s="1"/>
      <c r="P454" s="1"/>
      <c r="Q454" s="1"/>
      <c r="R454" s="1"/>
      <c r="S454" s="1"/>
      <c r="T454" s="1"/>
      <c r="U454" s="1"/>
    </row>
    <row r="455" ht="15.75" customHeight="1">
      <c r="A455" s="1"/>
      <c r="B455" s="1"/>
      <c r="C455" s="1"/>
      <c r="D455" s="2"/>
      <c r="E455" s="1"/>
      <c r="F455" s="1"/>
      <c r="G455" s="1"/>
      <c r="H455" s="1"/>
      <c r="I455" s="1"/>
      <c r="J455" s="1"/>
      <c r="K455" s="1"/>
      <c r="L455" s="1"/>
      <c r="M455" s="1"/>
      <c r="N455" s="1"/>
      <c r="O455" s="1"/>
      <c r="P455" s="1"/>
      <c r="Q455" s="1"/>
      <c r="R455" s="1"/>
      <c r="S455" s="1"/>
      <c r="T455" s="1"/>
      <c r="U455" s="1"/>
    </row>
    <row r="456" ht="15.75" customHeight="1">
      <c r="A456" s="1"/>
      <c r="B456" s="1"/>
      <c r="C456" s="1"/>
      <c r="D456" s="2"/>
      <c r="E456" s="1"/>
      <c r="F456" s="1"/>
      <c r="G456" s="1"/>
      <c r="H456" s="1"/>
      <c r="I456" s="1"/>
      <c r="J456" s="1"/>
      <c r="K456" s="1"/>
      <c r="L456" s="1"/>
      <c r="M456" s="1"/>
      <c r="N456" s="1"/>
      <c r="O456" s="1"/>
      <c r="P456" s="1"/>
      <c r="Q456" s="1"/>
      <c r="R456" s="1"/>
      <c r="S456" s="1"/>
      <c r="T456" s="1"/>
      <c r="U456" s="1"/>
    </row>
    <row r="457" ht="15.75" customHeight="1">
      <c r="A457" s="1"/>
      <c r="B457" s="1"/>
      <c r="C457" s="1"/>
      <c r="D457" s="2"/>
      <c r="E457" s="1"/>
      <c r="F457" s="1"/>
      <c r="G457" s="1"/>
      <c r="H457" s="1"/>
      <c r="I457" s="1"/>
      <c r="J457" s="1"/>
      <c r="K457" s="1"/>
      <c r="L457" s="1"/>
      <c r="M457" s="1"/>
      <c r="N457" s="1"/>
      <c r="O457" s="1"/>
      <c r="P457" s="1"/>
      <c r="Q457" s="1"/>
      <c r="R457" s="1"/>
      <c r="S457" s="1"/>
      <c r="T457" s="1"/>
      <c r="U457" s="1"/>
    </row>
    <row r="458" ht="15.75" customHeight="1">
      <c r="A458" s="1"/>
      <c r="B458" s="1"/>
      <c r="C458" s="1"/>
      <c r="D458" s="2"/>
      <c r="E458" s="1"/>
      <c r="F458" s="1"/>
      <c r="G458" s="1"/>
      <c r="H458" s="1"/>
      <c r="I458" s="1"/>
      <c r="J458" s="1"/>
      <c r="K458" s="1"/>
      <c r="L458" s="1"/>
      <c r="M458" s="1"/>
      <c r="N458" s="1"/>
      <c r="O458" s="1"/>
      <c r="P458" s="1"/>
      <c r="Q458" s="1"/>
      <c r="R458" s="1"/>
      <c r="S458" s="1"/>
      <c r="T458" s="1"/>
      <c r="U458" s="1"/>
    </row>
    <row r="459" ht="15.75" customHeight="1">
      <c r="A459" s="1"/>
      <c r="B459" s="1"/>
      <c r="C459" s="1"/>
      <c r="D459" s="2"/>
      <c r="E459" s="1"/>
      <c r="F459" s="1"/>
      <c r="G459" s="1"/>
      <c r="H459" s="1"/>
      <c r="I459" s="1"/>
      <c r="J459" s="1"/>
      <c r="K459" s="1"/>
      <c r="L459" s="1"/>
      <c r="M459" s="1"/>
      <c r="N459" s="1"/>
      <c r="O459" s="1"/>
      <c r="P459" s="1"/>
      <c r="Q459" s="1"/>
      <c r="R459" s="1"/>
      <c r="S459" s="1"/>
      <c r="T459" s="1"/>
      <c r="U459" s="1"/>
    </row>
    <row r="460" ht="15.75" customHeight="1">
      <c r="A460" s="1"/>
      <c r="B460" s="1"/>
      <c r="C460" s="1"/>
      <c r="D460" s="2"/>
      <c r="E460" s="1"/>
      <c r="F460" s="1"/>
      <c r="G460" s="1"/>
      <c r="H460" s="1"/>
      <c r="I460" s="1"/>
      <c r="J460" s="1"/>
      <c r="K460" s="1"/>
      <c r="L460" s="1"/>
      <c r="M460" s="1"/>
      <c r="N460" s="1"/>
      <c r="O460" s="1"/>
      <c r="P460" s="1"/>
      <c r="Q460" s="1"/>
      <c r="R460" s="1"/>
      <c r="S460" s="1"/>
      <c r="T460" s="1"/>
      <c r="U460" s="1"/>
    </row>
    <row r="461" ht="15.75" customHeight="1">
      <c r="A461" s="1"/>
      <c r="B461" s="1"/>
      <c r="C461" s="1"/>
      <c r="D461" s="2"/>
      <c r="E461" s="1"/>
      <c r="F461" s="1"/>
      <c r="G461" s="1"/>
      <c r="H461" s="1"/>
      <c r="I461" s="1"/>
      <c r="J461" s="1"/>
      <c r="K461" s="1"/>
      <c r="L461" s="1"/>
      <c r="M461" s="1"/>
      <c r="N461" s="1"/>
      <c r="O461" s="1"/>
      <c r="P461" s="1"/>
      <c r="Q461" s="1"/>
      <c r="R461" s="1"/>
      <c r="S461" s="1"/>
      <c r="T461" s="1"/>
      <c r="U461" s="1"/>
    </row>
    <row r="462" ht="15.75" customHeight="1">
      <c r="A462" s="1"/>
      <c r="B462" s="1"/>
      <c r="C462" s="1"/>
      <c r="D462" s="2"/>
      <c r="E462" s="1"/>
      <c r="F462" s="1"/>
      <c r="G462" s="1"/>
      <c r="H462" s="1"/>
      <c r="I462" s="1"/>
      <c r="J462" s="1"/>
      <c r="K462" s="1"/>
      <c r="L462" s="1"/>
      <c r="M462" s="1"/>
      <c r="N462" s="1"/>
      <c r="O462" s="1"/>
      <c r="P462" s="1"/>
      <c r="Q462" s="1"/>
      <c r="R462" s="1"/>
      <c r="S462" s="1"/>
      <c r="T462" s="1"/>
      <c r="U462" s="1"/>
    </row>
    <row r="463" ht="15.75" customHeight="1">
      <c r="A463" s="1"/>
      <c r="B463" s="1"/>
      <c r="C463" s="1"/>
      <c r="D463" s="2"/>
      <c r="E463" s="1"/>
      <c r="F463" s="1"/>
      <c r="G463" s="1"/>
      <c r="H463" s="1"/>
      <c r="I463" s="1"/>
      <c r="J463" s="1"/>
      <c r="K463" s="1"/>
      <c r="L463" s="1"/>
      <c r="M463" s="1"/>
      <c r="N463" s="1"/>
      <c r="O463" s="1"/>
      <c r="P463" s="1"/>
      <c r="Q463" s="1"/>
      <c r="R463" s="1"/>
      <c r="S463" s="1"/>
      <c r="T463" s="1"/>
      <c r="U463" s="1"/>
    </row>
    <row r="464" ht="15.75" customHeight="1">
      <c r="A464" s="1"/>
      <c r="B464" s="1"/>
      <c r="C464" s="1"/>
      <c r="D464" s="2"/>
      <c r="E464" s="1"/>
      <c r="F464" s="1"/>
      <c r="G464" s="1"/>
      <c r="H464" s="1"/>
      <c r="I464" s="1"/>
      <c r="J464" s="1"/>
      <c r="K464" s="1"/>
      <c r="L464" s="1"/>
      <c r="M464" s="1"/>
      <c r="N464" s="1"/>
      <c r="O464" s="1"/>
      <c r="P464" s="1"/>
      <c r="Q464" s="1"/>
      <c r="R464" s="1"/>
      <c r="S464" s="1"/>
      <c r="T464" s="1"/>
      <c r="U464" s="1"/>
    </row>
    <row r="465" ht="15.75" customHeight="1">
      <c r="A465" s="1"/>
      <c r="B465" s="1"/>
      <c r="C465" s="1"/>
      <c r="D465" s="2"/>
      <c r="E465" s="1"/>
      <c r="F465" s="1"/>
      <c r="G465" s="1"/>
      <c r="H465" s="1"/>
      <c r="I465" s="1"/>
      <c r="J465" s="1"/>
      <c r="K465" s="1"/>
      <c r="L465" s="1"/>
      <c r="M465" s="1"/>
      <c r="N465" s="1"/>
      <c r="O465" s="1"/>
      <c r="P465" s="1"/>
      <c r="Q465" s="1"/>
      <c r="R465" s="1"/>
      <c r="S465" s="1"/>
      <c r="T465" s="1"/>
      <c r="U465" s="1"/>
    </row>
    <row r="466" ht="15.75" customHeight="1">
      <c r="A466" s="1"/>
      <c r="B466" s="1"/>
      <c r="C466" s="1"/>
      <c r="D466" s="2"/>
      <c r="E466" s="1"/>
      <c r="F466" s="1"/>
      <c r="G466" s="1"/>
      <c r="H466" s="1"/>
      <c r="I466" s="1"/>
      <c r="J466" s="1"/>
      <c r="K466" s="1"/>
      <c r="L466" s="1"/>
      <c r="M466" s="1"/>
      <c r="N466" s="1"/>
      <c r="O466" s="1"/>
      <c r="P466" s="1"/>
      <c r="Q466" s="1"/>
      <c r="R466" s="1"/>
      <c r="S466" s="1"/>
      <c r="T466" s="1"/>
      <c r="U466" s="1"/>
    </row>
    <row r="467" ht="15.75" customHeight="1">
      <c r="A467" s="1"/>
      <c r="B467" s="1"/>
      <c r="C467" s="1"/>
      <c r="D467" s="2"/>
      <c r="E467" s="1"/>
      <c r="F467" s="1"/>
      <c r="G467" s="1"/>
      <c r="H467" s="1"/>
      <c r="I467" s="1"/>
      <c r="J467" s="1"/>
      <c r="K467" s="1"/>
      <c r="L467" s="1"/>
      <c r="M467" s="1"/>
      <c r="N467" s="1"/>
      <c r="O467" s="1"/>
      <c r="P467" s="1"/>
      <c r="Q467" s="1"/>
      <c r="R467" s="1"/>
      <c r="S467" s="1"/>
      <c r="T467" s="1"/>
      <c r="U467" s="1"/>
    </row>
    <row r="468" ht="15.75" customHeight="1">
      <c r="A468" s="1"/>
      <c r="B468" s="1"/>
      <c r="C468" s="1"/>
      <c r="D468" s="2"/>
      <c r="E468" s="1"/>
      <c r="F468" s="1"/>
      <c r="G468" s="1"/>
      <c r="H468" s="1"/>
      <c r="I468" s="1"/>
      <c r="J468" s="1"/>
      <c r="K468" s="1"/>
      <c r="L468" s="1"/>
      <c r="M468" s="1"/>
      <c r="N468" s="1"/>
      <c r="O468" s="1"/>
      <c r="P468" s="1"/>
      <c r="Q468" s="1"/>
      <c r="R468" s="1"/>
      <c r="S468" s="1"/>
      <c r="T468" s="1"/>
      <c r="U468" s="1"/>
    </row>
    <row r="469" ht="15.75" customHeight="1">
      <c r="A469" s="1"/>
      <c r="B469" s="1"/>
      <c r="C469" s="1"/>
      <c r="D469" s="2"/>
      <c r="E469" s="1"/>
      <c r="F469" s="1"/>
      <c r="G469" s="1"/>
      <c r="H469" s="1"/>
      <c r="I469" s="1"/>
      <c r="J469" s="1"/>
      <c r="K469" s="1"/>
      <c r="L469" s="1"/>
      <c r="M469" s="1"/>
      <c r="N469" s="1"/>
      <c r="O469" s="1"/>
      <c r="P469" s="1"/>
      <c r="Q469" s="1"/>
      <c r="R469" s="1"/>
      <c r="S469" s="1"/>
      <c r="T469" s="1"/>
      <c r="U469" s="1"/>
    </row>
    <row r="470" ht="15.75" customHeight="1">
      <c r="A470" s="1"/>
      <c r="B470" s="1"/>
      <c r="C470" s="1"/>
      <c r="D470" s="2"/>
      <c r="E470" s="1"/>
      <c r="F470" s="1"/>
      <c r="G470" s="1"/>
      <c r="H470" s="1"/>
      <c r="I470" s="1"/>
      <c r="J470" s="1"/>
      <c r="K470" s="1"/>
      <c r="L470" s="1"/>
      <c r="M470" s="1"/>
      <c r="N470" s="1"/>
      <c r="O470" s="1"/>
      <c r="P470" s="1"/>
      <c r="Q470" s="1"/>
      <c r="R470" s="1"/>
      <c r="S470" s="1"/>
      <c r="T470" s="1"/>
      <c r="U470" s="1"/>
    </row>
    <row r="471" ht="15.75" customHeight="1">
      <c r="A471" s="1"/>
      <c r="B471" s="1"/>
      <c r="C471" s="1"/>
      <c r="D471" s="2"/>
      <c r="E471" s="1"/>
      <c r="F471" s="1"/>
      <c r="G471" s="1"/>
      <c r="H471" s="1"/>
      <c r="I471" s="1"/>
      <c r="J471" s="1"/>
      <c r="K471" s="1"/>
      <c r="L471" s="1"/>
      <c r="M471" s="1"/>
      <c r="N471" s="1"/>
      <c r="O471" s="1"/>
      <c r="P471" s="1"/>
      <c r="Q471" s="1"/>
      <c r="R471" s="1"/>
      <c r="S471" s="1"/>
      <c r="T471" s="1"/>
      <c r="U471" s="1"/>
    </row>
    <row r="472" ht="15.75" customHeight="1">
      <c r="A472" s="1"/>
      <c r="B472" s="1"/>
      <c r="C472" s="1"/>
      <c r="D472" s="2"/>
      <c r="E472" s="1"/>
      <c r="F472" s="1"/>
      <c r="G472" s="1"/>
      <c r="H472" s="1"/>
      <c r="I472" s="1"/>
      <c r="J472" s="1"/>
      <c r="K472" s="1"/>
      <c r="L472" s="1"/>
      <c r="M472" s="1"/>
      <c r="N472" s="1"/>
      <c r="O472" s="1"/>
      <c r="P472" s="1"/>
      <c r="Q472" s="1"/>
      <c r="R472" s="1"/>
      <c r="S472" s="1"/>
      <c r="T472" s="1"/>
      <c r="U472" s="1"/>
    </row>
    <row r="473" ht="15.75" customHeight="1">
      <c r="A473" s="1"/>
      <c r="B473" s="1"/>
      <c r="C473" s="1"/>
      <c r="D473" s="2"/>
      <c r="E473" s="1"/>
      <c r="F473" s="1"/>
      <c r="G473" s="1"/>
      <c r="H473" s="1"/>
      <c r="I473" s="1"/>
      <c r="J473" s="1"/>
      <c r="K473" s="1"/>
      <c r="L473" s="1"/>
      <c r="M473" s="1"/>
      <c r="N473" s="1"/>
      <c r="O473" s="1"/>
      <c r="P473" s="1"/>
      <c r="Q473" s="1"/>
      <c r="R473" s="1"/>
      <c r="S473" s="1"/>
      <c r="T473" s="1"/>
      <c r="U473" s="1"/>
    </row>
    <row r="474" ht="15.75" customHeight="1">
      <c r="A474" s="1"/>
      <c r="B474" s="1"/>
      <c r="C474" s="1"/>
      <c r="D474" s="2"/>
      <c r="E474" s="1"/>
      <c r="F474" s="1"/>
      <c r="G474" s="1"/>
      <c r="H474" s="1"/>
      <c r="I474" s="1"/>
      <c r="J474" s="1"/>
      <c r="K474" s="1"/>
      <c r="L474" s="1"/>
      <c r="M474" s="1"/>
      <c r="N474" s="1"/>
      <c r="O474" s="1"/>
      <c r="P474" s="1"/>
      <c r="Q474" s="1"/>
      <c r="R474" s="1"/>
      <c r="S474" s="1"/>
      <c r="T474" s="1"/>
      <c r="U474" s="1"/>
    </row>
    <row r="475" ht="15.75" customHeight="1">
      <c r="A475" s="1"/>
      <c r="B475" s="1"/>
      <c r="C475" s="1"/>
      <c r="D475" s="2"/>
      <c r="E475" s="1"/>
      <c r="F475" s="1"/>
      <c r="G475" s="1"/>
      <c r="H475" s="1"/>
      <c r="I475" s="1"/>
      <c r="J475" s="1"/>
      <c r="K475" s="1"/>
      <c r="L475" s="1"/>
      <c r="M475" s="1"/>
      <c r="N475" s="1"/>
      <c r="O475" s="1"/>
      <c r="P475" s="1"/>
      <c r="Q475" s="1"/>
      <c r="R475" s="1"/>
      <c r="S475" s="1"/>
      <c r="T475" s="1"/>
      <c r="U475" s="1"/>
    </row>
    <row r="476" ht="15.75" customHeight="1">
      <c r="A476" s="1"/>
      <c r="B476" s="1"/>
      <c r="C476" s="1"/>
      <c r="D476" s="2"/>
      <c r="E476" s="1"/>
      <c r="F476" s="1"/>
      <c r="G476" s="1"/>
      <c r="H476" s="1"/>
      <c r="I476" s="1"/>
      <c r="J476" s="1"/>
      <c r="K476" s="1"/>
      <c r="L476" s="1"/>
      <c r="M476" s="1"/>
      <c r="N476" s="1"/>
      <c r="O476" s="1"/>
      <c r="P476" s="1"/>
      <c r="Q476" s="1"/>
      <c r="R476" s="1"/>
      <c r="S476" s="1"/>
      <c r="T476" s="1"/>
      <c r="U476" s="1"/>
    </row>
    <row r="477" ht="15.75" customHeight="1">
      <c r="A477" s="1"/>
      <c r="B477" s="1"/>
      <c r="C477" s="1"/>
      <c r="D477" s="2"/>
      <c r="E477" s="1"/>
      <c r="F477" s="1"/>
      <c r="G477" s="1"/>
      <c r="H477" s="1"/>
      <c r="I477" s="1"/>
      <c r="J477" s="1"/>
      <c r="K477" s="1"/>
      <c r="L477" s="1"/>
      <c r="M477" s="1"/>
      <c r="N477" s="1"/>
      <c r="O477" s="1"/>
      <c r="P477" s="1"/>
      <c r="Q477" s="1"/>
      <c r="R477" s="1"/>
      <c r="S477" s="1"/>
      <c r="T477" s="1"/>
      <c r="U477" s="1"/>
    </row>
    <row r="478" ht="15.75" customHeight="1">
      <c r="A478" s="1"/>
      <c r="B478" s="1"/>
      <c r="C478" s="1"/>
      <c r="D478" s="2"/>
      <c r="E478" s="1"/>
      <c r="F478" s="1"/>
      <c r="G478" s="1"/>
      <c r="H478" s="1"/>
      <c r="I478" s="1"/>
      <c r="J478" s="1"/>
      <c r="K478" s="1"/>
      <c r="L478" s="1"/>
      <c r="M478" s="1"/>
      <c r="N478" s="1"/>
      <c r="O478" s="1"/>
      <c r="P478" s="1"/>
      <c r="Q478" s="1"/>
      <c r="R478" s="1"/>
      <c r="S478" s="1"/>
      <c r="T478" s="1"/>
      <c r="U478" s="1"/>
    </row>
    <row r="479" ht="15.75" customHeight="1">
      <c r="A479" s="1"/>
      <c r="B479" s="1"/>
      <c r="C479" s="1"/>
      <c r="D479" s="2"/>
      <c r="E479" s="1"/>
      <c r="F479" s="1"/>
      <c r="G479" s="1"/>
      <c r="H479" s="1"/>
      <c r="I479" s="1"/>
      <c r="J479" s="1"/>
      <c r="K479" s="1"/>
      <c r="L479" s="1"/>
      <c r="M479" s="1"/>
      <c r="N479" s="1"/>
      <c r="O479" s="1"/>
      <c r="P479" s="1"/>
      <c r="Q479" s="1"/>
      <c r="R479" s="1"/>
      <c r="S479" s="1"/>
      <c r="T479" s="1"/>
      <c r="U479" s="1"/>
    </row>
    <row r="480" ht="15.75" customHeight="1">
      <c r="A480" s="1"/>
      <c r="B480" s="1"/>
      <c r="C480" s="1"/>
      <c r="D480" s="2"/>
      <c r="E480" s="1"/>
      <c r="F480" s="1"/>
      <c r="G480" s="1"/>
      <c r="H480" s="1"/>
      <c r="I480" s="1"/>
      <c r="J480" s="1"/>
      <c r="K480" s="1"/>
      <c r="L480" s="1"/>
      <c r="M480" s="1"/>
      <c r="N480" s="1"/>
      <c r="O480" s="1"/>
      <c r="P480" s="1"/>
      <c r="Q480" s="1"/>
      <c r="R480" s="1"/>
      <c r="S480" s="1"/>
      <c r="T480" s="1"/>
      <c r="U480" s="1"/>
    </row>
    <row r="481" ht="15.75" customHeight="1">
      <c r="A481" s="1"/>
      <c r="B481" s="1"/>
      <c r="C481" s="1"/>
      <c r="D481" s="2"/>
      <c r="E481" s="1"/>
      <c r="F481" s="1"/>
      <c r="G481" s="1"/>
      <c r="H481" s="1"/>
      <c r="I481" s="1"/>
      <c r="J481" s="1"/>
      <c r="K481" s="1"/>
      <c r="L481" s="1"/>
      <c r="M481" s="1"/>
      <c r="N481" s="1"/>
      <c r="O481" s="1"/>
      <c r="P481" s="1"/>
      <c r="Q481" s="1"/>
      <c r="R481" s="1"/>
      <c r="S481" s="1"/>
      <c r="T481" s="1"/>
      <c r="U481" s="1"/>
    </row>
    <row r="482" ht="15.75" customHeight="1">
      <c r="A482" s="1"/>
      <c r="B482" s="1"/>
      <c r="C482" s="1"/>
      <c r="D482" s="2"/>
      <c r="E482" s="1"/>
      <c r="F482" s="1"/>
      <c r="G482" s="1"/>
      <c r="H482" s="1"/>
      <c r="I482" s="1"/>
      <c r="J482" s="1"/>
      <c r="K482" s="1"/>
      <c r="L482" s="1"/>
      <c r="M482" s="1"/>
      <c r="N482" s="1"/>
      <c r="O482" s="1"/>
      <c r="P482" s="1"/>
      <c r="Q482" s="1"/>
      <c r="R482" s="1"/>
      <c r="S482" s="1"/>
      <c r="T482" s="1"/>
      <c r="U482" s="1"/>
    </row>
    <row r="483" ht="15.75" customHeight="1">
      <c r="A483" s="1"/>
      <c r="B483" s="1"/>
      <c r="C483" s="1"/>
      <c r="D483" s="2"/>
      <c r="E483" s="1"/>
      <c r="F483" s="1"/>
      <c r="G483" s="1"/>
      <c r="H483" s="1"/>
      <c r="I483" s="1"/>
      <c r="J483" s="1"/>
      <c r="K483" s="1"/>
      <c r="L483" s="1"/>
      <c r="M483" s="1"/>
      <c r="N483" s="1"/>
      <c r="O483" s="1"/>
      <c r="P483" s="1"/>
      <c r="Q483" s="1"/>
      <c r="R483" s="1"/>
      <c r="S483" s="1"/>
      <c r="T483" s="1"/>
      <c r="U483" s="1"/>
    </row>
    <row r="484" ht="15.75" customHeight="1">
      <c r="A484" s="1"/>
      <c r="B484" s="1"/>
      <c r="C484" s="1"/>
      <c r="D484" s="2"/>
      <c r="E484" s="1"/>
      <c r="F484" s="1"/>
      <c r="G484" s="1"/>
      <c r="H484" s="1"/>
      <c r="I484" s="1"/>
      <c r="J484" s="1"/>
      <c r="K484" s="1"/>
      <c r="L484" s="1"/>
      <c r="M484" s="1"/>
      <c r="N484" s="1"/>
      <c r="O484" s="1"/>
      <c r="P484" s="1"/>
      <c r="Q484" s="1"/>
      <c r="R484" s="1"/>
      <c r="S484" s="1"/>
      <c r="T484" s="1"/>
      <c r="U484" s="1"/>
    </row>
    <row r="485" ht="15.75" customHeight="1">
      <c r="A485" s="1"/>
      <c r="B485" s="1"/>
      <c r="C485" s="1"/>
      <c r="D485" s="2"/>
      <c r="E485" s="1"/>
      <c r="F485" s="1"/>
      <c r="G485" s="1"/>
      <c r="H485" s="1"/>
      <c r="I485" s="1"/>
      <c r="J485" s="1"/>
      <c r="K485" s="1"/>
      <c r="L485" s="1"/>
      <c r="M485" s="1"/>
      <c r="N485" s="1"/>
      <c r="O485" s="1"/>
      <c r="P485" s="1"/>
      <c r="Q485" s="1"/>
      <c r="R485" s="1"/>
      <c r="S485" s="1"/>
      <c r="T485" s="1"/>
      <c r="U485" s="1"/>
    </row>
    <row r="486" ht="15.75" customHeight="1">
      <c r="A486" s="1"/>
      <c r="B486" s="1"/>
      <c r="C486" s="1"/>
      <c r="D486" s="2"/>
      <c r="E486" s="1"/>
      <c r="F486" s="1"/>
      <c r="G486" s="1"/>
      <c r="H486" s="1"/>
      <c r="I486" s="1"/>
      <c r="J486" s="1"/>
      <c r="K486" s="1"/>
      <c r="L486" s="1"/>
      <c r="M486" s="1"/>
      <c r="N486" s="1"/>
      <c r="O486" s="1"/>
      <c r="P486" s="1"/>
      <c r="Q486" s="1"/>
      <c r="R486" s="1"/>
      <c r="S486" s="1"/>
      <c r="T486" s="1"/>
      <c r="U486" s="1"/>
    </row>
    <row r="487" ht="15.75" customHeight="1">
      <c r="A487" s="1"/>
      <c r="B487" s="1"/>
      <c r="C487" s="1"/>
      <c r="D487" s="2"/>
      <c r="E487" s="1"/>
      <c r="F487" s="1"/>
      <c r="G487" s="1"/>
      <c r="H487" s="1"/>
      <c r="I487" s="1"/>
      <c r="J487" s="1"/>
      <c r="K487" s="1"/>
      <c r="L487" s="1"/>
      <c r="M487" s="1"/>
      <c r="N487" s="1"/>
      <c r="O487" s="1"/>
      <c r="P487" s="1"/>
      <c r="Q487" s="1"/>
      <c r="R487" s="1"/>
      <c r="S487" s="1"/>
      <c r="T487" s="1"/>
      <c r="U487" s="1"/>
    </row>
    <row r="488" ht="15.75" customHeight="1">
      <c r="A488" s="1"/>
      <c r="B488" s="1"/>
      <c r="C488" s="1"/>
      <c r="D488" s="2"/>
      <c r="E488" s="1"/>
      <c r="F488" s="1"/>
      <c r="G488" s="1"/>
      <c r="H488" s="1"/>
      <c r="I488" s="1"/>
      <c r="J488" s="1"/>
      <c r="K488" s="1"/>
      <c r="L488" s="1"/>
      <c r="M488" s="1"/>
      <c r="N488" s="1"/>
      <c r="O488" s="1"/>
      <c r="P488" s="1"/>
      <c r="Q488" s="1"/>
      <c r="R488" s="1"/>
      <c r="S488" s="1"/>
      <c r="T488" s="1"/>
      <c r="U488" s="1"/>
    </row>
    <row r="489" ht="15.75" customHeight="1">
      <c r="A489" s="1"/>
      <c r="B489" s="1"/>
      <c r="C489" s="1"/>
      <c r="D489" s="2"/>
      <c r="E489" s="1"/>
      <c r="F489" s="1"/>
      <c r="G489" s="1"/>
      <c r="H489" s="1"/>
      <c r="I489" s="1"/>
      <c r="J489" s="1"/>
      <c r="K489" s="1"/>
      <c r="L489" s="1"/>
      <c r="M489" s="1"/>
      <c r="N489" s="1"/>
      <c r="O489" s="1"/>
      <c r="P489" s="1"/>
      <c r="Q489" s="1"/>
      <c r="R489" s="1"/>
      <c r="S489" s="1"/>
      <c r="T489" s="1"/>
      <c r="U489" s="1"/>
    </row>
    <row r="490" ht="15.75" customHeight="1">
      <c r="A490" s="1"/>
      <c r="B490" s="1"/>
      <c r="C490" s="1"/>
      <c r="D490" s="2"/>
      <c r="E490" s="1"/>
      <c r="F490" s="1"/>
      <c r="G490" s="1"/>
      <c r="H490" s="1"/>
      <c r="I490" s="1"/>
      <c r="J490" s="1"/>
      <c r="K490" s="1"/>
      <c r="L490" s="1"/>
      <c r="M490" s="1"/>
      <c r="N490" s="1"/>
      <c r="O490" s="1"/>
      <c r="P490" s="1"/>
      <c r="Q490" s="1"/>
      <c r="R490" s="1"/>
      <c r="S490" s="1"/>
      <c r="T490" s="1"/>
      <c r="U490" s="1"/>
    </row>
    <row r="491" ht="15.75" customHeight="1">
      <c r="A491" s="1"/>
      <c r="B491" s="1"/>
      <c r="C491" s="1"/>
      <c r="D491" s="2"/>
      <c r="E491" s="1"/>
      <c r="F491" s="1"/>
      <c r="G491" s="1"/>
      <c r="H491" s="1"/>
      <c r="I491" s="1"/>
      <c r="J491" s="1"/>
      <c r="K491" s="1"/>
      <c r="L491" s="1"/>
      <c r="M491" s="1"/>
      <c r="N491" s="1"/>
      <c r="O491" s="1"/>
      <c r="P491" s="1"/>
      <c r="Q491" s="1"/>
      <c r="R491" s="1"/>
      <c r="S491" s="1"/>
      <c r="T491" s="1"/>
      <c r="U491" s="1"/>
    </row>
    <row r="492" ht="15.75" customHeight="1">
      <c r="A492" s="1"/>
      <c r="B492" s="1"/>
      <c r="C492" s="1"/>
      <c r="D492" s="2"/>
      <c r="E492" s="1"/>
      <c r="F492" s="1"/>
      <c r="G492" s="1"/>
      <c r="H492" s="1"/>
      <c r="I492" s="1"/>
      <c r="J492" s="1"/>
      <c r="K492" s="1"/>
      <c r="L492" s="1"/>
      <c r="M492" s="1"/>
      <c r="N492" s="1"/>
      <c r="O492" s="1"/>
      <c r="P492" s="1"/>
      <c r="Q492" s="1"/>
      <c r="R492" s="1"/>
      <c r="S492" s="1"/>
      <c r="T492" s="1"/>
      <c r="U492" s="1"/>
    </row>
    <row r="493" ht="15.75" customHeight="1">
      <c r="A493" s="1"/>
      <c r="B493" s="1"/>
      <c r="C493" s="1"/>
      <c r="D493" s="2"/>
      <c r="E493" s="1"/>
      <c r="F493" s="1"/>
      <c r="G493" s="1"/>
      <c r="H493" s="1"/>
      <c r="I493" s="1"/>
      <c r="J493" s="1"/>
      <c r="K493" s="1"/>
      <c r="L493" s="1"/>
      <c r="M493" s="1"/>
      <c r="N493" s="1"/>
      <c r="O493" s="1"/>
      <c r="P493" s="1"/>
      <c r="Q493" s="1"/>
      <c r="R493" s="1"/>
      <c r="S493" s="1"/>
      <c r="T493" s="1"/>
      <c r="U493" s="1"/>
    </row>
    <row r="494" ht="15.75" customHeight="1">
      <c r="A494" s="1"/>
      <c r="B494" s="1"/>
      <c r="C494" s="1"/>
      <c r="D494" s="2"/>
      <c r="E494" s="1"/>
      <c r="F494" s="1"/>
      <c r="G494" s="1"/>
      <c r="H494" s="1"/>
      <c r="I494" s="1"/>
      <c r="J494" s="1"/>
      <c r="K494" s="1"/>
      <c r="L494" s="1"/>
      <c r="M494" s="1"/>
      <c r="N494" s="1"/>
      <c r="O494" s="1"/>
      <c r="P494" s="1"/>
      <c r="Q494" s="1"/>
      <c r="R494" s="1"/>
      <c r="S494" s="1"/>
      <c r="T494" s="1"/>
      <c r="U494" s="1"/>
    </row>
    <row r="495" ht="15.75" customHeight="1">
      <c r="A495" s="1"/>
      <c r="B495" s="1"/>
      <c r="C495" s="1"/>
      <c r="D495" s="2"/>
      <c r="E495" s="1"/>
      <c r="F495" s="1"/>
      <c r="G495" s="1"/>
      <c r="H495" s="1"/>
      <c r="I495" s="1"/>
      <c r="J495" s="1"/>
      <c r="K495" s="1"/>
      <c r="L495" s="1"/>
      <c r="M495" s="1"/>
      <c r="N495" s="1"/>
      <c r="O495" s="1"/>
      <c r="P495" s="1"/>
      <c r="Q495" s="1"/>
      <c r="R495" s="1"/>
      <c r="S495" s="1"/>
      <c r="T495" s="1"/>
      <c r="U495" s="1"/>
    </row>
    <row r="496" ht="15.75" customHeight="1">
      <c r="A496" s="1"/>
      <c r="B496" s="1"/>
      <c r="C496" s="1"/>
      <c r="D496" s="2"/>
      <c r="E496" s="1"/>
      <c r="F496" s="1"/>
      <c r="G496" s="1"/>
      <c r="H496" s="1"/>
      <c r="I496" s="1"/>
      <c r="J496" s="1"/>
      <c r="K496" s="1"/>
      <c r="L496" s="1"/>
      <c r="M496" s="1"/>
      <c r="N496" s="1"/>
      <c r="O496" s="1"/>
      <c r="P496" s="1"/>
      <c r="Q496" s="1"/>
      <c r="R496" s="1"/>
      <c r="S496" s="1"/>
      <c r="T496" s="1"/>
      <c r="U496" s="1"/>
    </row>
    <row r="497" ht="15.75" customHeight="1">
      <c r="A497" s="1"/>
      <c r="B497" s="1"/>
      <c r="C497" s="1"/>
      <c r="D497" s="2"/>
      <c r="E497" s="1"/>
      <c r="F497" s="1"/>
      <c r="G497" s="1"/>
      <c r="H497" s="1"/>
      <c r="I497" s="1"/>
      <c r="J497" s="1"/>
      <c r="K497" s="1"/>
      <c r="L497" s="1"/>
      <c r="M497" s="1"/>
      <c r="N497" s="1"/>
      <c r="O497" s="1"/>
      <c r="P497" s="1"/>
      <c r="Q497" s="1"/>
      <c r="R497" s="1"/>
      <c r="S497" s="1"/>
      <c r="T497" s="1"/>
      <c r="U497" s="1"/>
    </row>
    <row r="498" ht="15.75" customHeight="1">
      <c r="A498" s="1"/>
      <c r="B498" s="1"/>
      <c r="C498" s="1"/>
      <c r="D498" s="2"/>
      <c r="E498" s="1"/>
      <c r="F498" s="1"/>
      <c r="G498" s="1"/>
      <c r="H498" s="1"/>
      <c r="I498" s="1"/>
      <c r="J498" s="1"/>
      <c r="K498" s="1"/>
      <c r="L498" s="1"/>
      <c r="M498" s="1"/>
      <c r="N498" s="1"/>
      <c r="O498" s="1"/>
      <c r="P498" s="1"/>
      <c r="Q498" s="1"/>
      <c r="R498" s="1"/>
      <c r="S498" s="1"/>
      <c r="T498" s="1"/>
      <c r="U498" s="1"/>
    </row>
    <row r="499" ht="15.75" customHeight="1">
      <c r="A499" s="1"/>
      <c r="B499" s="1"/>
      <c r="C499" s="1"/>
      <c r="D499" s="2"/>
      <c r="E499" s="1"/>
      <c r="F499" s="1"/>
      <c r="G499" s="1"/>
      <c r="H499" s="1"/>
      <c r="I499" s="1"/>
      <c r="J499" s="1"/>
      <c r="K499" s="1"/>
      <c r="L499" s="1"/>
      <c r="M499" s="1"/>
      <c r="N499" s="1"/>
      <c r="O499" s="1"/>
      <c r="P499" s="1"/>
      <c r="Q499" s="1"/>
      <c r="R499" s="1"/>
      <c r="S499" s="1"/>
      <c r="T499" s="1"/>
      <c r="U499" s="1"/>
    </row>
    <row r="500" ht="15.75" customHeight="1">
      <c r="A500" s="1"/>
      <c r="B500" s="1"/>
      <c r="C500" s="1"/>
      <c r="D500" s="2"/>
      <c r="E500" s="1"/>
      <c r="F500" s="1"/>
      <c r="G500" s="1"/>
      <c r="H500" s="1"/>
      <c r="I500" s="1"/>
      <c r="J500" s="1"/>
      <c r="K500" s="1"/>
      <c r="L500" s="1"/>
      <c r="M500" s="1"/>
      <c r="N500" s="1"/>
      <c r="O500" s="1"/>
      <c r="P500" s="1"/>
      <c r="Q500" s="1"/>
      <c r="R500" s="1"/>
      <c r="S500" s="1"/>
      <c r="T500" s="1"/>
      <c r="U500" s="1"/>
    </row>
    <row r="501" ht="15.75" customHeight="1">
      <c r="A501" s="1"/>
      <c r="B501" s="1"/>
      <c r="C501" s="1"/>
      <c r="D501" s="2"/>
      <c r="E501" s="1"/>
      <c r="F501" s="1"/>
      <c r="G501" s="1"/>
      <c r="H501" s="1"/>
      <c r="I501" s="1"/>
      <c r="J501" s="1"/>
      <c r="K501" s="1"/>
      <c r="L501" s="1"/>
      <c r="M501" s="1"/>
      <c r="N501" s="1"/>
      <c r="O501" s="1"/>
      <c r="P501" s="1"/>
      <c r="Q501" s="1"/>
      <c r="R501" s="1"/>
      <c r="S501" s="1"/>
      <c r="T501" s="1"/>
      <c r="U501" s="1"/>
    </row>
    <row r="502" ht="15.75" customHeight="1">
      <c r="A502" s="1"/>
      <c r="B502" s="1"/>
      <c r="C502" s="1"/>
      <c r="D502" s="2"/>
      <c r="E502" s="1"/>
      <c r="F502" s="1"/>
      <c r="G502" s="1"/>
      <c r="H502" s="1"/>
      <c r="I502" s="1"/>
      <c r="J502" s="1"/>
      <c r="K502" s="1"/>
      <c r="L502" s="1"/>
      <c r="M502" s="1"/>
      <c r="N502" s="1"/>
      <c r="O502" s="1"/>
      <c r="P502" s="1"/>
      <c r="Q502" s="1"/>
      <c r="R502" s="1"/>
      <c r="S502" s="1"/>
      <c r="T502" s="1"/>
      <c r="U502" s="1"/>
    </row>
    <row r="503" ht="15.75" customHeight="1">
      <c r="A503" s="1"/>
      <c r="B503" s="1"/>
      <c r="C503" s="1"/>
      <c r="D503" s="2"/>
      <c r="E503" s="1"/>
      <c r="F503" s="1"/>
      <c r="G503" s="1"/>
      <c r="H503" s="1"/>
      <c r="I503" s="1"/>
      <c r="J503" s="1"/>
      <c r="K503" s="1"/>
      <c r="L503" s="1"/>
      <c r="M503" s="1"/>
      <c r="N503" s="1"/>
      <c r="O503" s="1"/>
      <c r="P503" s="1"/>
      <c r="Q503" s="1"/>
      <c r="R503" s="1"/>
      <c r="S503" s="1"/>
      <c r="T503" s="1"/>
      <c r="U503" s="1"/>
    </row>
    <row r="504" ht="15.75" customHeight="1">
      <c r="A504" s="1"/>
      <c r="B504" s="1"/>
      <c r="C504" s="1"/>
      <c r="D504" s="2"/>
      <c r="E504" s="1"/>
      <c r="F504" s="1"/>
      <c r="G504" s="1"/>
      <c r="H504" s="1"/>
      <c r="I504" s="1"/>
      <c r="J504" s="1"/>
      <c r="K504" s="1"/>
      <c r="L504" s="1"/>
      <c r="M504" s="1"/>
      <c r="N504" s="1"/>
      <c r="O504" s="1"/>
      <c r="P504" s="1"/>
      <c r="Q504" s="1"/>
      <c r="R504" s="1"/>
      <c r="S504" s="1"/>
      <c r="T504" s="1"/>
      <c r="U504" s="1"/>
    </row>
    <row r="505" ht="15.75" customHeight="1">
      <c r="A505" s="1"/>
      <c r="B505" s="1"/>
      <c r="C505" s="1"/>
      <c r="D505" s="2"/>
      <c r="E505" s="1"/>
      <c r="F505" s="1"/>
      <c r="G505" s="1"/>
      <c r="H505" s="1"/>
      <c r="I505" s="1"/>
      <c r="J505" s="1"/>
      <c r="K505" s="1"/>
      <c r="L505" s="1"/>
      <c r="M505" s="1"/>
      <c r="N505" s="1"/>
      <c r="O505" s="1"/>
      <c r="P505" s="1"/>
      <c r="Q505" s="1"/>
      <c r="R505" s="1"/>
      <c r="S505" s="1"/>
      <c r="T505" s="1"/>
      <c r="U505" s="1"/>
    </row>
    <row r="506" ht="15.75" customHeight="1">
      <c r="A506" s="1"/>
      <c r="B506" s="1"/>
      <c r="C506" s="1"/>
      <c r="D506" s="2"/>
      <c r="E506" s="1"/>
      <c r="F506" s="1"/>
      <c r="G506" s="1"/>
      <c r="H506" s="1"/>
      <c r="I506" s="1"/>
      <c r="J506" s="1"/>
      <c r="K506" s="1"/>
      <c r="L506" s="1"/>
      <c r="M506" s="1"/>
      <c r="N506" s="1"/>
      <c r="O506" s="1"/>
      <c r="P506" s="1"/>
      <c r="Q506" s="1"/>
      <c r="R506" s="1"/>
      <c r="S506" s="1"/>
      <c r="T506" s="1"/>
      <c r="U506" s="1"/>
    </row>
    <row r="507" ht="15.75" customHeight="1">
      <c r="A507" s="1"/>
      <c r="B507" s="1"/>
      <c r="C507" s="1"/>
      <c r="D507" s="2"/>
      <c r="E507" s="1"/>
      <c r="F507" s="1"/>
      <c r="G507" s="1"/>
      <c r="H507" s="1"/>
      <c r="I507" s="1"/>
      <c r="J507" s="1"/>
      <c r="K507" s="1"/>
      <c r="L507" s="1"/>
      <c r="M507" s="1"/>
      <c r="N507" s="1"/>
      <c r="O507" s="1"/>
      <c r="P507" s="1"/>
      <c r="Q507" s="1"/>
      <c r="R507" s="1"/>
      <c r="S507" s="1"/>
      <c r="T507" s="1"/>
      <c r="U507" s="1"/>
    </row>
    <row r="508" ht="15.75" customHeight="1">
      <c r="A508" s="1"/>
      <c r="B508" s="1"/>
      <c r="C508" s="1"/>
      <c r="D508" s="2"/>
      <c r="E508" s="1"/>
      <c r="F508" s="1"/>
      <c r="G508" s="1"/>
      <c r="H508" s="1"/>
      <c r="I508" s="1"/>
      <c r="J508" s="1"/>
      <c r="K508" s="1"/>
      <c r="L508" s="1"/>
      <c r="M508" s="1"/>
      <c r="N508" s="1"/>
      <c r="O508" s="1"/>
      <c r="P508" s="1"/>
      <c r="Q508" s="1"/>
      <c r="R508" s="1"/>
      <c r="S508" s="1"/>
      <c r="T508" s="1"/>
      <c r="U508" s="1"/>
    </row>
    <row r="509" ht="15.75" customHeight="1">
      <c r="A509" s="1"/>
      <c r="B509" s="1"/>
      <c r="C509" s="1"/>
      <c r="D509" s="2"/>
      <c r="E509" s="1"/>
      <c r="F509" s="1"/>
      <c r="G509" s="1"/>
      <c r="H509" s="1"/>
      <c r="I509" s="1"/>
      <c r="J509" s="1"/>
      <c r="K509" s="1"/>
      <c r="L509" s="1"/>
      <c r="M509" s="1"/>
      <c r="N509" s="1"/>
      <c r="O509" s="1"/>
      <c r="P509" s="1"/>
      <c r="Q509" s="1"/>
      <c r="R509" s="1"/>
      <c r="S509" s="1"/>
      <c r="T509" s="1"/>
      <c r="U509" s="1"/>
    </row>
    <row r="510" ht="15.75" customHeight="1">
      <c r="A510" s="1"/>
      <c r="B510" s="1"/>
      <c r="C510" s="1"/>
      <c r="D510" s="2"/>
      <c r="E510" s="1"/>
      <c r="F510" s="1"/>
      <c r="G510" s="1"/>
      <c r="H510" s="1"/>
      <c r="I510" s="1"/>
      <c r="J510" s="1"/>
      <c r="K510" s="1"/>
      <c r="L510" s="1"/>
      <c r="M510" s="1"/>
      <c r="N510" s="1"/>
      <c r="O510" s="1"/>
      <c r="P510" s="1"/>
      <c r="Q510" s="1"/>
      <c r="R510" s="1"/>
      <c r="S510" s="1"/>
      <c r="T510" s="1"/>
      <c r="U510" s="1"/>
    </row>
    <row r="511" ht="15.75" customHeight="1">
      <c r="A511" s="1"/>
      <c r="B511" s="1"/>
      <c r="C511" s="1"/>
      <c r="D511" s="2"/>
      <c r="E511" s="1"/>
      <c r="F511" s="1"/>
      <c r="G511" s="1"/>
      <c r="H511" s="1"/>
      <c r="I511" s="1"/>
      <c r="J511" s="1"/>
      <c r="K511" s="1"/>
      <c r="L511" s="1"/>
      <c r="M511" s="1"/>
      <c r="N511" s="1"/>
      <c r="O511" s="1"/>
      <c r="P511" s="1"/>
      <c r="Q511" s="1"/>
      <c r="R511" s="1"/>
      <c r="S511" s="1"/>
      <c r="T511" s="1"/>
      <c r="U511" s="1"/>
    </row>
    <row r="512" ht="15.75" customHeight="1">
      <c r="A512" s="1"/>
      <c r="B512" s="1"/>
      <c r="C512" s="1"/>
      <c r="D512" s="2"/>
      <c r="E512" s="1"/>
      <c r="F512" s="1"/>
      <c r="G512" s="1"/>
      <c r="H512" s="1"/>
      <c r="I512" s="1"/>
      <c r="J512" s="1"/>
      <c r="K512" s="1"/>
      <c r="L512" s="1"/>
      <c r="M512" s="1"/>
      <c r="N512" s="1"/>
      <c r="O512" s="1"/>
      <c r="P512" s="1"/>
      <c r="Q512" s="1"/>
      <c r="R512" s="1"/>
      <c r="S512" s="1"/>
      <c r="T512" s="1"/>
      <c r="U512" s="1"/>
    </row>
    <row r="513" ht="15.75" customHeight="1">
      <c r="A513" s="1"/>
      <c r="B513" s="1"/>
      <c r="C513" s="1"/>
      <c r="D513" s="2"/>
      <c r="E513" s="1"/>
      <c r="F513" s="1"/>
      <c r="G513" s="1"/>
      <c r="H513" s="1"/>
      <c r="I513" s="1"/>
      <c r="J513" s="1"/>
      <c r="K513" s="1"/>
      <c r="L513" s="1"/>
      <c r="M513" s="1"/>
      <c r="N513" s="1"/>
      <c r="O513" s="1"/>
      <c r="P513" s="1"/>
      <c r="Q513" s="1"/>
      <c r="R513" s="1"/>
      <c r="S513" s="1"/>
      <c r="T513" s="1"/>
      <c r="U513" s="1"/>
    </row>
    <row r="514" ht="15.75" customHeight="1">
      <c r="A514" s="1"/>
      <c r="B514" s="1"/>
      <c r="C514" s="1"/>
      <c r="D514" s="2"/>
      <c r="E514" s="1"/>
      <c r="F514" s="1"/>
      <c r="G514" s="1"/>
      <c r="H514" s="1"/>
      <c r="I514" s="1"/>
      <c r="J514" s="1"/>
      <c r="K514" s="1"/>
      <c r="L514" s="1"/>
      <c r="M514" s="1"/>
      <c r="N514" s="1"/>
      <c r="O514" s="1"/>
      <c r="P514" s="1"/>
      <c r="Q514" s="1"/>
      <c r="R514" s="1"/>
      <c r="S514" s="1"/>
      <c r="T514" s="1"/>
      <c r="U514" s="1"/>
    </row>
    <row r="515" ht="15.75" customHeight="1">
      <c r="A515" s="1"/>
      <c r="B515" s="1"/>
      <c r="C515" s="1"/>
      <c r="D515" s="2"/>
      <c r="E515" s="1"/>
      <c r="F515" s="1"/>
      <c r="G515" s="1"/>
      <c r="H515" s="1"/>
      <c r="I515" s="1"/>
      <c r="J515" s="1"/>
      <c r="K515" s="1"/>
      <c r="L515" s="1"/>
      <c r="M515" s="1"/>
      <c r="N515" s="1"/>
      <c r="O515" s="1"/>
      <c r="P515" s="1"/>
      <c r="Q515" s="1"/>
      <c r="R515" s="1"/>
      <c r="S515" s="1"/>
      <c r="T515" s="1"/>
      <c r="U515" s="1"/>
    </row>
    <row r="516" ht="15.75" customHeight="1">
      <c r="A516" s="1"/>
      <c r="B516" s="1"/>
      <c r="C516" s="1"/>
      <c r="D516" s="2"/>
      <c r="E516" s="1"/>
      <c r="F516" s="1"/>
      <c r="G516" s="1"/>
      <c r="H516" s="1"/>
      <c r="I516" s="1"/>
      <c r="J516" s="1"/>
      <c r="K516" s="1"/>
      <c r="L516" s="1"/>
      <c r="M516" s="1"/>
      <c r="N516" s="1"/>
      <c r="O516" s="1"/>
      <c r="P516" s="1"/>
      <c r="Q516" s="1"/>
      <c r="R516" s="1"/>
      <c r="S516" s="1"/>
      <c r="T516" s="1"/>
      <c r="U516" s="1"/>
    </row>
    <row r="517" ht="15.75" customHeight="1">
      <c r="A517" s="1"/>
      <c r="B517" s="1"/>
      <c r="C517" s="1"/>
      <c r="D517" s="2"/>
      <c r="E517" s="1"/>
      <c r="F517" s="1"/>
      <c r="G517" s="1"/>
      <c r="H517" s="1"/>
      <c r="I517" s="1"/>
      <c r="J517" s="1"/>
      <c r="K517" s="1"/>
      <c r="L517" s="1"/>
      <c r="M517" s="1"/>
      <c r="N517" s="1"/>
      <c r="O517" s="1"/>
      <c r="P517" s="1"/>
      <c r="Q517" s="1"/>
      <c r="R517" s="1"/>
      <c r="S517" s="1"/>
      <c r="T517" s="1"/>
      <c r="U517" s="1"/>
    </row>
    <row r="518" ht="15.75" customHeight="1">
      <c r="A518" s="1"/>
      <c r="B518" s="1"/>
      <c r="C518" s="1"/>
      <c r="D518" s="2"/>
      <c r="E518" s="1"/>
      <c r="F518" s="1"/>
      <c r="G518" s="1"/>
      <c r="H518" s="1"/>
      <c r="I518" s="1"/>
      <c r="J518" s="1"/>
      <c r="K518" s="1"/>
      <c r="L518" s="1"/>
      <c r="M518" s="1"/>
      <c r="N518" s="1"/>
      <c r="O518" s="1"/>
      <c r="P518" s="1"/>
      <c r="Q518" s="1"/>
      <c r="R518" s="1"/>
      <c r="S518" s="1"/>
      <c r="T518" s="1"/>
      <c r="U518" s="1"/>
    </row>
    <row r="519" ht="15.75" customHeight="1">
      <c r="A519" s="1"/>
      <c r="B519" s="1"/>
      <c r="C519" s="1"/>
      <c r="D519" s="2"/>
      <c r="E519" s="1"/>
      <c r="F519" s="1"/>
      <c r="G519" s="1"/>
      <c r="H519" s="1"/>
      <c r="I519" s="1"/>
      <c r="J519" s="1"/>
      <c r="K519" s="1"/>
      <c r="L519" s="1"/>
      <c r="M519" s="1"/>
      <c r="N519" s="1"/>
      <c r="O519" s="1"/>
      <c r="P519" s="1"/>
      <c r="Q519" s="1"/>
      <c r="R519" s="1"/>
      <c r="S519" s="1"/>
      <c r="T519" s="1"/>
      <c r="U519" s="1"/>
    </row>
    <row r="520" ht="15.75" customHeight="1">
      <c r="A520" s="1"/>
      <c r="B520" s="1"/>
      <c r="C520" s="1"/>
      <c r="D520" s="2"/>
      <c r="E520" s="1"/>
      <c r="F520" s="1"/>
      <c r="G520" s="1"/>
      <c r="H520" s="1"/>
      <c r="I520" s="1"/>
      <c r="J520" s="1"/>
      <c r="K520" s="1"/>
      <c r="L520" s="1"/>
      <c r="M520" s="1"/>
      <c r="N520" s="1"/>
      <c r="O520" s="1"/>
      <c r="P520" s="1"/>
      <c r="Q520" s="1"/>
      <c r="R520" s="1"/>
      <c r="S520" s="1"/>
      <c r="T520" s="1"/>
      <c r="U520" s="1"/>
    </row>
    <row r="521" ht="15.75" customHeight="1">
      <c r="A521" s="1"/>
      <c r="B521" s="1"/>
      <c r="C521" s="1"/>
      <c r="D521" s="2"/>
      <c r="E521" s="1"/>
      <c r="F521" s="1"/>
      <c r="G521" s="1"/>
      <c r="H521" s="1"/>
      <c r="I521" s="1"/>
      <c r="J521" s="1"/>
      <c r="K521" s="1"/>
      <c r="L521" s="1"/>
      <c r="M521" s="1"/>
      <c r="N521" s="1"/>
      <c r="O521" s="1"/>
      <c r="P521" s="1"/>
      <c r="Q521" s="1"/>
      <c r="R521" s="1"/>
      <c r="S521" s="1"/>
      <c r="T521" s="1"/>
      <c r="U521" s="1"/>
    </row>
    <row r="522" ht="15.75" customHeight="1">
      <c r="A522" s="1"/>
      <c r="B522" s="1"/>
      <c r="C522" s="1"/>
      <c r="D522" s="2"/>
      <c r="E522" s="1"/>
      <c r="F522" s="1"/>
      <c r="G522" s="1"/>
      <c r="H522" s="1"/>
      <c r="I522" s="1"/>
      <c r="J522" s="1"/>
      <c r="K522" s="1"/>
      <c r="L522" s="1"/>
      <c r="M522" s="1"/>
      <c r="N522" s="1"/>
      <c r="O522" s="1"/>
      <c r="P522" s="1"/>
      <c r="Q522" s="1"/>
      <c r="R522" s="1"/>
      <c r="S522" s="1"/>
      <c r="T522" s="1"/>
      <c r="U522" s="1"/>
    </row>
    <row r="523" ht="15.75" customHeight="1">
      <c r="A523" s="1"/>
      <c r="B523" s="1"/>
      <c r="C523" s="1"/>
      <c r="D523" s="2"/>
      <c r="E523" s="1"/>
      <c r="F523" s="1"/>
      <c r="G523" s="1"/>
      <c r="H523" s="1"/>
      <c r="I523" s="1"/>
      <c r="J523" s="1"/>
      <c r="K523" s="1"/>
      <c r="L523" s="1"/>
      <c r="M523" s="1"/>
      <c r="N523" s="1"/>
      <c r="O523" s="1"/>
      <c r="P523" s="1"/>
      <c r="Q523" s="1"/>
      <c r="R523" s="1"/>
      <c r="S523" s="1"/>
      <c r="T523" s="1"/>
      <c r="U523" s="1"/>
    </row>
    <row r="524" ht="15.75" customHeight="1">
      <c r="A524" s="1"/>
      <c r="B524" s="1"/>
      <c r="C524" s="1"/>
      <c r="D524" s="2"/>
      <c r="E524" s="1"/>
      <c r="F524" s="1"/>
      <c r="G524" s="1"/>
      <c r="H524" s="1"/>
      <c r="I524" s="1"/>
      <c r="J524" s="1"/>
      <c r="K524" s="1"/>
      <c r="L524" s="1"/>
      <c r="M524" s="1"/>
      <c r="N524" s="1"/>
      <c r="O524" s="1"/>
      <c r="P524" s="1"/>
      <c r="Q524" s="1"/>
      <c r="R524" s="1"/>
      <c r="S524" s="1"/>
      <c r="T524" s="1"/>
      <c r="U524" s="1"/>
    </row>
    <row r="525" ht="15.75" customHeight="1">
      <c r="A525" s="1"/>
      <c r="B525" s="1"/>
      <c r="C525" s="1"/>
      <c r="D525" s="2"/>
      <c r="E525" s="1"/>
      <c r="F525" s="1"/>
      <c r="G525" s="1"/>
      <c r="H525" s="1"/>
      <c r="I525" s="1"/>
      <c r="J525" s="1"/>
      <c r="K525" s="1"/>
      <c r="L525" s="1"/>
      <c r="M525" s="1"/>
      <c r="N525" s="1"/>
      <c r="O525" s="1"/>
      <c r="P525" s="1"/>
      <c r="Q525" s="1"/>
      <c r="R525" s="1"/>
      <c r="S525" s="1"/>
      <c r="T525" s="1"/>
      <c r="U525" s="1"/>
    </row>
    <row r="526" ht="15.75" customHeight="1">
      <c r="A526" s="1"/>
      <c r="B526" s="1"/>
      <c r="C526" s="1"/>
      <c r="D526" s="2"/>
      <c r="E526" s="1"/>
      <c r="F526" s="1"/>
      <c r="G526" s="1"/>
      <c r="H526" s="1"/>
      <c r="I526" s="1"/>
      <c r="J526" s="1"/>
      <c r="K526" s="1"/>
      <c r="L526" s="1"/>
      <c r="M526" s="1"/>
      <c r="N526" s="1"/>
      <c r="O526" s="1"/>
      <c r="P526" s="1"/>
      <c r="Q526" s="1"/>
      <c r="R526" s="1"/>
      <c r="S526" s="1"/>
      <c r="T526" s="1"/>
      <c r="U526" s="1"/>
    </row>
    <row r="527" ht="15.75" customHeight="1">
      <c r="A527" s="1"/>
      <c r="B527" s="1"/>
      <c r="C527" s="1"/>
      <c r="D527" s="2"/>
      <c r="E527" s="1"/>
      <c r="F527" s="1"/>
      <c r="G527" s="1"/>
      <c r="H527" s="1"/>
      <c r="I527" s="1"/>
      <c r="J527" s="1"/>
      <c r="K527" s="1"/>
      <c r="L527" s="1"/>
      <c r="M527" s="1"/>
      <c r="N527" s="1"/>
      <c r="O527" s="1"/>
      <c r="P527" s="1"/>
      <c r="Q527" s="1"/>
      <c r="R527" s="1"/>
      <c r="S527" s="1"/>
      <c r="T527" s="1"/>
      <c r="U527" s="1"/>
    </row>
    <row r="528" ht="15.75" customHeight="1">
      <c r="A528" s="1"/>
      <c r="B528" s="1"/>
      <c r="C528" s="1"/>
      <c r="D528" s="2"/>
      <c r="E528" s="1"/>
      <c r="F528" s="1"/>
      <c r="G528" s="1"/>
      <c r="H528" s="1"/>
      <c r="I528" s="1"/>
      <c r="J528" s="1"/>
      <c r="K528" s="1"/>
      <c r="L528" s="1"/>
      <c r="M528" s="1"/>
      <c r="N528" s="1"/>
      <c r="O528" s="1"/>
      <c r="P528" s="1"/>
      <c r="Q528" s="1"/>
      <c r="R528" s="1"/>
      <c r="S528" s="1"/>
      <c r="T528" s="1"/>
      <c r="U528" s="1"/>
    </row>
    <row r="529" ht="15.75" customHeight="1">
      <c r="A529" s="1"/>
      <c r="B529" s="1"/>
      <c r="C529" s="1"/>
      <c r="D529" s="2"/>
      <c r="E529" s="1"/>
      <c r="F529" s="1"/>
      <c r="G529" s="1"/>
      <c r="H529" s="1"/>
      <c r="I529" s="1"/>
      <c r="J529" s="1"/>
      <c r="K529" s="1"/>
      <c r="L529" s="1"/>
      <c r="M529" s="1"/>
      <c r="N529" s="1"/>
      <c r="O529" s="1"/>
      <c r="P529" s="1"/>
      <c r="Q529" s="1"/>
      <c r="R529" s="1"/>
      <c r="S529" s="1"/>
      <c r="T529" s="1"/>
      <c r="U529" s="1"/>
    </row>
    <row r="530" ht="15.75" customHeight="1">
      <c r="A530" s="1"/>
      <c r="B530" s="1"/>
      <c r="C530" s="1"/>
      <c r="D530" s="2"/>
      <c r="E530" s="1"/>
      <c r="F530" s="1"/>
      <c r="G530" s="1"/>
      <c r="H530" s="1"/>
      <c r="I530" s="1"/>
      <c r="J530" s="1"/>
      <c r="K530" s="1"/>
      <c r="L530" s="1"/>
      <c r="M530" s="1"/>
      <c r="N530" s="1"/>
      <c r="O530" s="1"/>
      <c r="P530" s="1"/>
      <c r="Q530" s="1"/>
      <c r="R530" s="1"/>
      <c r="S530" s="1"/>
      <c r="T530" s="1"/>
      <c r="U530" s="1"/>
    </row>
    <row r="531" ht="15.75" customHeight="1">
      <c r="A531" s="1"/>
      <c r="B531" s="1"/>
      <c r="C531" s="1"/>
      <c r="D531" s="2"/>
      <c r="E531" s="1"/>
      <c r="F531" s="1"/>
      <c r="G531" s="1"/>
      <c r="H531" s="1"/>
      <c r="I531" s="1"/>
      <c r="J531" s="1"/>
      <c r="K531" s="1"/>
      <c r="L531" s="1"/>
      <c r="M531" s="1"/>
      <c r="N531" s="1"/>
      <c r="O531" s="1"/>
      <c r="P531" s="1"/>
      <c r="Q531" s="1"/>
      <c r="R531" s="1"/>
      <c r="S531" s="1"/>
      <c r="T531" s="1"/>
      <c r="U531" s="1"/>
    </row>
    <row r="532" ht="15.75" customHeight="1">
      <c r="A532" s="1"/>
      <c r="B532" s="1"/>
      <c r="C532" s="1"/>
      <c r="D532" s="2"/>
      <c r="E532" s="1"/>
      <c r="F532" s="1"/>
      <c r="G532" s="1"/>
      <c r="H532" s="1"/>
      <c r="I532" s="1"/>
      <c r="J532" s="1"/>
      <c r="K532" s="1"/>
      <c r="L532" s="1"/>
      <c r="M532" s="1"/>
      <c r="N532" s="1"/>
      <c r="O532" s="1"/>
      <c r="P532" s="1"/>
      <c r="Q532" s="1"/>
      <c r="R532" s="1"/>
      <c r="S532" s="1"/>
      <c r="T532" s="1"/>
      <c r="U532" s="1"/>
    </row>
    <row r="533" ht="15.75" customHeight="1">
      <c r="A533" s="1"/>
      <c r="B533" s="1"/>
      <c r="C533" s="1"/>
      <c r="D533" s="2"/>
      <c r="E533" s="1"/>
      <c r="F533" s="1"/>
      <c r="G533" s="1"/>
      <c r="H533" s="1"/>
      <c r="I533" s="1"/>
      <c r="J533" s="1"/>
      <c r="K533" s="1"/>
      <c r="L533" s="1"/>
      <c r="M533" s="1"/>
      <c r="N533" s="1"/>
      <c r="O533" s="1"/>
      <c r="P533" s="1"/>
      <c r="Q533" s="1"/>
      <c r="R533" s="1"/>
      <c r="S533" s="1"/>
      <c r="T533" s="1"/>
      <c r="U533" s="1"/>
    </row>
    <row r="534" ht="15.75" customHeight="1">
      <c r="A534" s="1"/>
      <c r="B534" s="1"/>
      <c r="C534" s="1"/>
      <c r="D534" s="2"/>
      <c r="E534" s="1"/>
      <c r="F534" s="1"/>
      <c r="G534" s="1"/>
      <c r="H534" s="1"/>
      <c r="I534" s="1"/>
      <c r="J534" s="1"/>
      <c r="K534" s="1"/>
      <c r="L534" s="1"/>
      <c r="M534" s="1"/>
      <c r="N534" s="1"/>
      <c r="O534" s="1"/>
      <c r="P534" s="1"/>
      <c r="Q534" s="1"/>
      <c r="R534" s="1"/>
      <c r="S534" s="1"/>
      <c r="T534" s="1"/>
      <c r="U534" s="1"/>
    </row>
    <row r="535" ht="15.75" customHeight="1">
      <c r="A535" s="1"/>
      <c r="B535" s="1"/>
      <c r="C535" s="1"/>
      <c r="D535" s="2"/>
      <c r="E535" s="1"/>
      <c r="F535" s="1"/>
      <c r="G535" s="1"/>
      <c r="H535" s="1"/>
      <c r="I535" s="1"/>
      <c r="J535" s="1"/>
      <c r="K535" s="1"/>
      <c r="L535" s="1"/>
      <c r="M535" s="1"/>
      <c r="N535" s="1"/>
      <c r="O535" s="1"/>
      <c r="P535" s="1"/>
      <c r="Q535" s="1"/>
      <c r="R535" s="1"/>
      <c r="S535" s="1"/>
      <c r="T535" s="1"/>
      <c r="U535" s="1"/>
    </row>
    <row r="536" ht="15.75" customHeight="1">
      <c r="A536" s="1"/>
      <c r="B536" s="1"/>
      <c r="C536" s="1"/>
      <c r="D536" s="2"/>
      <c r="E536" s="1"/>
      <c r="F536" s="1"/>
      <c r="G536" s="1"/>
      <c r="H536" s="1"/>
      <c r="I536" s="1"/>
      <c r="J536" s="1"/>
      <c r="K536" s="1"/>
      <c r="L536" s="1"/>
      <c r="M536" s="1"/>
      <c r="N536" s="1"/>
      <c r="O536" s="1"/>
      <c r="P536" s="1"/>
      <c r="Q536" s="1"/>
      <c r="R536" s="1"/>
      <c r="S536" s="1"/>
      <c r="T536" s="1"/>
      <c r="U536" s="1"/>
    </row>
    <row r="537" ht="15.75" customHeight="1">
      <c r="A537" s="1"/>
      <c r="B537" s="1"/>
      <c r="C537" s="1"/>
      <c r="D537" s="2"/>
      <c r="E537" s="1"/>
      <c r="F537" s="1"/>
      <c r="G537" s="1"/>
      <c r="H537" s="1"/>
      <c r="I537" s="1"/>
      <c r="J537" s="1"/>
      <c r="K537" s="1"/>
      <c r="L537" s="1"/>
      <c r="M537" s="1"/>
      <c r="N537" s="1"/>
      <c r="O537" s="1"/>
      <c r="P537" s="1"/>
      <c r="Q537" s="1"/>
      <c r="R537" s="1"/>
      <c r="S537" s="1"/>
      <c r="T537" s="1"/>
      <c r="U537" s="1"/>
    </row>
    <row r="538" ht="15.75" customHeight="1">
      <c r="A538" s="1"/>
      <c r="B538" s="1"/>
      <c r="C538" s="1"/>
      <c r="D538" s="2"/>
      <c r="E538" s="1"/>
      <c r="F538" s="1"/>
      <c r="G538" s="1"/>
      <c r="H538" s="1"/>
      <c r="I538" s="1"/>
      <c r="J538" s="1"/>
      <c r="K538" s="1"/>
      <c r="L538" s="1"/>
      <c r="M538" s="1"/>
      <c r="N538" s="1"/>
      <c r="O538" s="1"/>
      <c r="P538" s="1"/>
      <c r="Q538" s="1"/>
      <c r="R538" s="1"/>
      <c r="S538" s="1"/>
      <c r="T538" s="1"/>
      <c r="U538" s="1"/>
    </row>
    <row r="539" ht="15.75" customHeight="1">
      <c r="A539" s="1"/>
      <c r="B539" s="1"/>
      <c r="C539" s="1"/>
      <c r="D539" s="2"/>
      <c r="E539" s="1"/>
      <c r="F539" s="1"/>
      <c r="G539" s="1"/>
      <c r="H539" s="1"/>
      <c r="I539" s="1"/>
      <c r="J539" s="1"/>
      <c r="K539" s="1"/>
      <c r="L539" s="1"/>
      <c r="M539" s="1"/>
      <c r="N539" s="1"/>
      <c r="O539" s="1"/>
      <c r="P539" s="1"/>
      <c r="Q539" s="1"/>
      <c r="R539" s="1"/>
      <c r="S539" s="1"/>
      <c r="T539" s="1"/>
      <c r="U539" s="1"/>
    </row>
    <row r="540" ht="15.75" customHeight="1">
      <c r="A540" s="1"/>
      <c r="B540" s="1"/>
      <c r="C540" s="1"/>
      <c r="D540" s="2"/>
      <c r="E540" s="1"/>
      <c r="F540" s="1"/>
      <c r="G540" s="1"/>
      <c r="H540" s="1"/>
      <c r="I540" s="1"/>
      <c r="J540" s="1"/>
      <c r="K540" s="1"/>
      <c r="L540" s="1"/>
      <c r="M540" s="1"/>
      <c r="N540" s="1"/>
      <c r="O540" s="1"/>
      <c r="P540" s="1"/>
      <c r="Q540" s="1"/>
      <c r="R540" s="1"/>
      <c r="S540" s="1"/>
      <c r="T540" s="1"/>
      <c r="U540" s="1"/>
    </row>
    <row r="541" ht="15.75" customHeight="1">
      <c r="A541" s="1"/>
      <c r="B541" s="1"/>
      <c r="C541" s="1"/>
      <c r="D541" s="2"/>
      <c r="E541" s="1"/>
      <c r="F541" s="1"/>
      <c r="G541" s="1"/>
      <c r="H541" s="1"/>
      <c r="I541" s="1"/>
      <c r="J541" s="1"/>
      <c r="K541" s="1"/>
      <c r="L541" s="1"/>
      <c r="M541" s="1"/>
      <c r="N541" s="1"/>
      <c r="O541" s="1"/>
      <c r="P541" s="1"/>
      <c r="Q541" s="1"/>
      <c r="R541" s="1"/>
      <c r="S541" s="1"/>
      <c r="T541" s="1"/>
      <c r="U541" s="1"/>
    </row>
    <row r="542" ht="15.75" customHeight="1">
      <c r="A542" s="1"/>
      <c r="B542" s="1"/>
      <c r="C542" s="1"/>
      <c r="D542" s="2"/>
      <c r="E542" s="1"/>
      <c r="F542" s="1"/>
      <c r="G542" s="1"/>
      <c r="H542" s="1"/>
      <c r="I542" s="1"/>
      <c r="J542" s="1"/>
      <c r="K542" s="1"/>
      <c r="L542" s="1"/>
      <c r="M542" s="1"/>
      <c r="N542" s="1"/>
      <c r="O542" s="1"/>
      <c r="P542" s="1"/>
      <c r="Q542" s="1"/>
      <c r="R542" s="1"/>
      <c r="S542" s="1"/>
      <c r="T542" s="1"/>
      <c r="U542" s="1"/>
    </row>
    <row r="543" ht="15.75" customHeight="1">
      <c r="A543" s="1"/>
      <c r="B543" s="1"/>
      <c r="C543" s="1"/>
      <c r="D543" s="2"/>
      <c r="E543" s="1"/>
      <c r="F543" s="1"/>
      <c r="G543" s="1"/>
      <c r="H543" s="1"/>
      <c r="I543" s="1"/>
      <c r="J543" s="1"/>
      <c r="K543" s="1"/>
      <c r="L543" s="1"/>
      <c r="M543" s="1"/>
      <c r="N543" s="1"/>
      <c r="O543" s="1"/>
      <c r="P543" s="1"/>
      <c r="Q543" s="1"/>
      <c r="R543" s="1"/>
      <c r="S543" s="1"/>
      <c r="T543" s="1"/>
      <c r="U543" s="1"/>
    </row>
    <row r="544" ht="15.75" customHeight="1">
      <c r="A544" s="1"/>
      <c r="B544" s="1"/>
      <c r="C544" s="1"/>
      <c r="D544" s="2"/>
      <c r="E544" s="1"/>
      <c r="F544" s="1"/>
      <c r="G544" s="1"/>
      <c r="H544" s="1"/>
      <c r="I544" s="1"/>
      <c r="J544" s="1"/>
      <c r="K544" s="1"/>
      <c r="L544" s="1"/>
      <c r="M544" s="1"/>
      <c r="N544" s="1"/>
      <c r="O544" s="1"/>
      <c r="P544" s="1"/>
      <c r="Q544" s="1"/>
      <c r="R544" s="1"/>
      <c r="S544" s="1"/>
      <c r="T544" s="1"/>
      <c r="U544" s="1"/>
    </row>
    <row r="545" ht="15.75" customHeight="1">
      <c r="A545" s="1"/>
      <c r="B545" s="1"/>
      <c r="C545" s="1"/>
      <c r="D545" s="2"/>
      <c r="E545" s="1"/>
      <c r="F545" s="1"/>
      <c r="G545" s="1"/>
      <c r="H545" s="1"/>
      <c r="I545" s="1"/>
      <c r="J545" s="1"/>
      <c r="K545" s="1"/>
      <c r="L545" s="1"/>
      <c r="M545" s="1"/>
      <c r="N545" s="1"/>
      <c r="O545" s="1"/>
      <c r="P545" s="1"/>
      <c r="Q545" s="1"/>
      <c r="R545" s="1"/>
      <c r="S545" s="1"/>
      <c r="T545" s="1"/>
      <c r="U545" s="1"/>
    </row>
    <row r="546" ht="15.75" customHeight="1">
      <c r="A546" s="1"/>
      <c r="B546" s="1"/>
      <c r="C546" s="1"/>
      <c r="D546" s="2"/>
      <c r="E546" s="1"/>
      <c r="F546" s="1"/>
      <c r="G546" s="1"/>
      <c r="H546" s="1"/>
      <c r="I546" s="1"/>
      <c r="J546" s="1"/>
      <c r="K546" s="1"/>
      <c r="L546" s="1"/>
      <c r="M546" s="1"/>
      <c r="N546" s="1"/>
      <c r="O546" s="1"/>
      <c r="P546" s="1"/>
      <c r="Q546" s="1"/>
      <c r="R546" s="1"/>
      <c r="S546" s="1"/>
      <c r="T546" s="1"/>
      <c r="U546" s="1"/>
    </row>
    <row r="547" ht="15.75" customHeight="1">
      <c r="A547" s="1"/>
      <c r="B547" s="1"/>
      <c r="C547" s="1"/>
      <c r="D547" s="2"/>
      <c r="E547" s="1"/>
      <c r="F547" s="1"/>
      <c r="G547" s="1"/>
      <c r="H547" s="1"/>
      <c r="I547" s="1"/>
      <c r="J547" s="1"/>
      <c r="K547" s="1"/>
      <c r="L547" s="1"/>
      <c r="M547" s="1"/>
      <c r="N547" s="1"/>
      <c r="O547" s="1"/>
      <c r="P547" s="1"/>
      <c r="Q547" s="1"/>
      <c r="R547" s="1"/>
      <c r="S547" s="1"/>
      <c r="T547" s="1"/>
      <c r="U547" s="1"/>
    </row>
    <row r="548" ht="15.75" customHeight="1">
      <c r="A548" s="1"/>
      <c r="B548" s="1"/>
      <c r="C548" s="1"/>
      <c r="D548" s="2"/>
      <c r="E548" s="1"/>
      <c r="F548" s="1"/>
      <c r="G548" s="1"/>
      <c r="H548" s="1"/>
      <c r="I548" s="1"/>
      <c r="J548" s="1"/>
      <c r="K548" s="1"/>
      <c r="L548" s="1"/>
      <c r="M548" s="1"/>
      <c r="N548" s="1"/>
      <c r="O548" s="1"/>
      <c r="P548" s="1"/>
      <c r="Q548" s="1"/>
      <c r="R548" s="1"/>
      <c r="S548" s="1"/>
      <c r="T548" s="1"/>
      <c r="U548" s="1"/>
    </row>
    <row r="549" ht="15.75" customHeight="1">
      <c r="A549" s="1"/>
      <c r="B549" s="1"/>
      <c r="C549" s="1"/>
      <c r="D549" s="2"/>
      <c r="E549" s="1"/>
      <c r="F549" s="1"/>
      <c r="G549" s="1"/>
      <c r="H549" s="1"/>
      <c r="I549" s="1"/>
      <c r="J549" s="1"/>
      <c r="K549" s="1"/>
      <c r="L549" s="1"/>
      <c r="M549" s="1"/>
      <c r="N549" s="1"/>
      <c r="O549" s="1"/>
      <c r="P549" s="1"/>
      <c r="Q549" s="1"/>
      <c r="R549" s="1"/>
      <c r="S549" s="1"/>
      <c r="T549" s="1"/>
      <c r="U549" s="1"/>
    </row>
    <row r="550" ht="15.75" customHeight="1">
      <c r="A550" s="1"/>
      <c r="B550" s="1"/>
      <c r="C550" s="1"/>
      <c r="D550" s="2"/>
      <c r="E550" s="1"/>
      <c r="F550" s="1"/>
      <c r="G550" s="1"/>
      <c r="H550" s="1"/>
      <c r="I550" s="1"/>
      <c r="J550" s="1"/>
      <c r="K550" s="1"/>
      <c r="L550" s="1"/>
      <c r="M550" s="1"/>
      <c r="N550" s="1"/>
      <c r="O550" s="1"/>
      <c r="P550" s="1"/>
      <c r="Q550" s="1"/>
      <c r="R550" s="1"/>
      <c r="S550" s="1"/>
      <c r="T550" s="1"/>
      <c r="U550" s="1"/>
    </row>
    <row r="551" ht="15.75" customHeight="1">
      <c r="A551" s="1"/>
      <c r="B551" s="1"/>
      <c r="C551" s="1"/>
      <c r="D551" s="2"/>
      <c r="E551" s="1"/>
      <c r="F551" s="1"/>
      <c r="G551" s="1"/>
      <c r="H551" s="1"/>
      <c r="I551" s="1"/>
      <c r="J551" s="1"/>
      <c r="K551" s="1"/>
      <c r="L551" s="1"/>
      <c r="M551" s="1"/>
      <c r="N551" s="1"/>
      <c r="O551" s="1"/>
      <c r="P551" s="1"/>
      <c r="Q551" s="1"/>
      <c r="R551" s="1"/>
      <c r="S551" s="1"/>
      <c r="T551" s="1"/>
      <c r="U551" s="1"/>
    </row>
    <row r="552" ht="15.75" customHeight="1">
      <c r="A552" s="1"/>
      <c r="B552" s="1"/>
      <c r="C552" s="1"/>
      <c r="D552" s="2"/>
      <c r="E552" s="1"/>
      <c r="F552" s="1"/>
      <c r="G552" s="1"/>
      <c r="H552" s="1"/>
      <c r="I552" s="1"/>
      <c r="J552" s="1"/>
      <c r="K552" s="1"/>
      <c r="L552" s="1"/>
      <c r="M552" s="1"/>
      <c r="N552" s="1"/>
      <c r="O552" s="1"/>
      <c r="P552" s="1"/>
      <c r="Q552" s="1"/>
      <c r="R552" s="1"/>
      <c r="S552" s="1"/>
      <c r="T552" s="1"/>
      <c r="U552" s="1"/>
    </row>
    <row r="553" ht="15.75" customHeight="1">
      <c r="A553" s="1"/>
      <c r="B553" s="1"/>
      <c r="C553" s="1"/>
      <c r="D553" s="2"/>
      <c r="E553" s="1"/>
      <c r="F553" s="1"/>
      <c r="G553" s="1"/>
      <c r="H553" s="1"/>
      <c r="I553" s="1"/>
      <c r="J553" s="1"/>
      <c r="K553" s="1"/>
      <c r="L553" s="1"/>
      <c r="M553" s="1"/>
      <c r="N553" s="1"/>
      <c r="O553" s="1"/>
      <c r="P553" s="1"/>
      <c r="Q553" s="1"/>
      <c r="R553" s="1"/>
      <c r="S553" s="1"/>
      <c r="T553" s="1"/>
      <c r="U553" s="1"/>
    </row>
    <row r="554" ht="15.75" customHeight="1">
      <c r="A554" s="1"/>
      <c r="B554" s="1"/>
      <c r="C554" s="1"/>
      <c r="D554" s="2"/>
      <c r="E554" s="1"/>
      <c r="F554" s="1"/>
      <c r="G554" s="1"/>
      <c r="H554" s="1"/>
      <c r="I554" s="1"/>
      <c r="J554" s="1"/>
      <c r="K554" s="1"/>
      <c r="L554" s="1"/>
      <c r="M554" s="1"/>
      <c r="N554" s="1"/>
      <c r="O554" s="1"/>
      <c r="P554" s="1"/>
      <c r="Q554" s="1"/>
      <c r="R554" s="1"/>
      <c r="S554" s="1"/>
      <c r="T554" s="1"/>
      <c r="U554" s="1"/>
    </row>
    <row r="555" ht="15.75" customHeight="1">
      <c r="A555" s="1"/>
      <c r="B555" s="1"/>
      <c r="C555" s="1"/>
      <c r="D555" s="2"/>
      <c r="E555" s="1"/>
      <c r="F555" s="1"/>
      <c r="G555" s="1"/>
      <c r="H555" s="1"/>
      <c r="I555" s="1"/>
      <c r="J555" s="1"/>
      <c r="K555" s="1"/>
      <c r="L555" s="1"/>
      <c r="M555" s="1"/>
      <c r="N555" s="1"/>
      <c r="O555" s="1"/>
      <c r="P555" s="1"/>
      <c r="Q555" s="1"/>
      <c r="R555" s="1"/>
      <c r="S555" s="1"/>
      <c r="T555" s="1"/>
      <c r="U555" s="1"/>
    </row>
    <row r="556" ht="15.75" customHeight="1">
      <c r="A556" s="1"/>
      <c r="B556" s="1"/>
      <c r="C556" s="1"/>
      <c r="D556" s="2"/>
      <c r="E556" s="1"/>
      <c r="F556" s="1"/>
      <c r="G556" s="1"/>
      <c r="H556" s="1"/>
      <c r="I556" s="1"/>
      <c r="J556" s="1"/>
      <c r="K556" s="1"/>
      <c r="L556" s="1"/>
      <c r="M556" s="1"/>
      <c r="N556" s="1"/>
      <c r="O556" s="1"/>
      <c r="P556" s="1"/>
      <c r="Q556" s="1"/>
      <c r="R556" s="1"/>
      <c r="S556" s="1"/>
      <c r="T556" s="1"/>
      <c r="U556" s="1"/>
    </row>
    <row r="557" ht="15.75" customHeight="1">
      <c r="A557" s="1"/>
      <c r="B557" s="1"/>
      <c r="C557" s="1"/>
      <c r="D557" s="2"/>
      <c r="E557" s="1"/>
      <c r="F557" s="1"/>
      <c r="G557" s="1"/>
      <c r="H557" s="1"/>
      <c r="I557" s="1"/>
      <c r="J557" s="1"/>
      <c r="K557" s="1"/>
      <c r="L557" s="1"/>
      <c r="M557" s="1"/>
      <c r="N557" s="1"/>
      <c r="O557" s="1"/>
      <c r="P557" s="1"/>
      <c r="Q557" s="1"/>
      <c r="R557" s="1"/>
      <c r="S557" s="1"/>
      <c r="T557" s="1"/>
      <c r="U557" s="1"/>
    </row>
    <row r="558" ht="15.75" customHeight="1">
      <c r="A558" s="1"/>
      <c r="B558" s="1"/>
      <c r="C558" s="1"/>
      <c r="D558" s="2"/>
      <c r="E558" s="1"/>
      <c r="F558" s="1"/>
      <c r="G558" s="1"/>
      <c r="H558" s="1"/>
      <c r="I558" s="1"/>
      <c r="J558" s="1"/>
      <c r="K558" s="1"/>
      <c r="L558" s="1"/>
      <c r="M558" s="1"/>
      <c r="N558" s="1"/>
      <c r="O558" s="1"/>
      <c r="P558" s="1"/>
      <c r="Q558" s="1"/>
      <c r="R558" s="1"/>
      <c r="S558" s="1"/>
      <c r="T558" s="1"/>
      <c r="U558" s="1"/>
    </row>
    <row r="559" ht="15.75" customHeight="1">
      <c r="A559" s="1"/>
      <c r="B559" s="1"/>
      <c r="C559" s="1"/>
      <c r="D559" s="2"/>
      <c r="E559" s="1"/>
      <c r="F559" s="1"/>
      <c r="G559" s="1"/>
      <c r="H559" s="1"/>
      <c r="I559" s="1"/>
      <c r="J559" s="1"/>
      <c r="K559" s="1"/>
      <c r="L559" s="1"/>
      <c r="M559" s="1"/>
      <c r="N559" s="1"/>
      <c r="O559" s="1"/>
      <c r="P559" s="1"/>
      <c r="Q559" s="1"/>
      <c r="R559" s="1"/>
      <c r="S559" s="1"/>
      <c r="T559" s="1"/>
      <c r="U559" s="1"/>
    </row>
    <row r="560" ht="15.75" customHeight="1">
      <c r="A560" s="1"/>
      <c r="B560" s="1"/>
      <c r="C560" s="1"/>
      <c r="D560" s="2"/>
      <c r="E560" s="1"/>
      <c r="F560" s="1"/>
      <c r="G560" s="1"/>
      <c r="H560" s="1"/>
      <c r="I560" s="1"/>
      <c r="J560" s="1"/>
      <c r="K560" s="1"/>
      <c r="L560" s="1"/>
      <c r="M560" s="1"/>
      <c r="N560" s="1"/>
      <c r="O560" s="1"/>
      <c r="P560" s="1"/>
      <c r="Q560" s="1"/>
      <c r="R560" s="1"/>
      <c r="S560" s="1"/>
      <c r="T560" s="1"/>
      <c r="U560" s="1"/>
    </row>
    <row r="561" ht="15.75" customHeight="1">
      <c r="A561" s="1"/>
      <c r="B561" s="1"/>
      <c r="C561" s="1"/>
      <c r="D561" s="2"/>
      <c r="E561" s="1"/>
      <c r="F561" s="1"/>
      <c r="G561" s="1"/>
      <c r="H561" s="1"/>
      <c r="I561" s="1"/>
      <c r="J561" s="1"/>
      <c r="K561" s="1"/>
      <c r="L561" s="1"/>
      <c r="M561" s="1"/>
      <c r="N561" s="1"/>
      <c r="O561" s="1"/>
      <c r="P561" s="1"/>
      <c r="Q561" s="1"/>
      <c r="R561" s="1"/>
      <c r="S561" s="1"/>
      <c r="T561" s="1"/>
      <c r="U561" s="1"/>
    </row>
    <row r="562" ht="15.75" customHeight="1">
      <c r="A562" s="1"/>
      <c r="B562" s="1"/>
      <c r="C562" s="1"/>
      <c r="D562" s="2"/>
      <c r="E562" s="1"/>
      <c r="F562" s="1"/>
      <c r="G562" s="1"/>
      <c r="H562" s="1"/>
      <c r="I562" s="1"/>
      <c r="J562" s="1"/>
      <c r="K562" s="1"/>
      <c r="L562" s="1"/>
      <c r="M562" s="1"/>
      <c r="N562" s="1"/>
      <c r="O562" s="1"/>
      <c r="P562" s="1"/>
      <c r="Q562" s="1"/>
      <c r="R562" s="1"/>
      <c r="S562" s="1"/>
      <c r="T562" s="1"/>
      <c r="U562" s="1"/>
    </row>
    <row r="563" ht="15.75" customHeight="1">
      <c r="A563" s="1"/>
      <c r="B563" s="1"/>
      <c r="C563" s="1"/>
      <c r="D563" s="2"/>
      <c r="E563" s="1"/>
      <c r="F563" s="1"/>
      <c r="G563" s="1"/>
      <c r="H563" s="1"/>
      <c r="I563" s="1"/>
      <c r="J563" s="1"/>
      <c r="K563" s="1"/>
      <c r="L563" s="1"/>
      <c r="M563" s="1"/>
      <c r="N563" s="1"/>
      <c r="O563" s="1"/>
      <c r="P563" s="1"/>
      <c r="Q563" s="1"/>
      <c r="R563" s="1"/>
      <c r="S563" s="1"/>
      <c r="T563" s="1"/>
      <c r="U563" s="1"/>
    </row>
    <row r="564" ht="15.75" customHeight="1">
      <c r="A564" s="1"/>
      <c r="B564" s="1"/>
      <c r="C564" s="1"/>
      <c r="D564" s="2"/>
      <c r="E564" s="1"/>
      <c r="F564" s="1"/>
      <c r="G564" s="1"/>
      <c r="H564" s="1"/>
      <c r="I564" s="1"/>
      <c r="J564" s="1"/>
      <c r="K564" s="1"/>
      <c r="L564" s="1"/>
      <c r="M564" s="1"/>
      <c r="N564" s="1"/>
      <c r="O564" s="1"/>
      <c r="P564" s="1"/>
      <c r="Q564" s="1"/>
      <c r="R564" s="1"/>
      <c r="S564" s="1"/>
      <c r="T564" s="1"/>
      <c r="U564" s="1"/>
    </row>
    <row r="565" ht="15.75" customHeight="1">
      <c r="A565" s="1"/>
      <c r="B565" s="1"/>
      <c r="C565" s="1"/>
      <c r="D565" s="2"/>
      <c r="E565" s="1"/>
      <c r="F565" s="1"/>
      <c r="G565" s="1"/>
      <c r="H565" s="1"/>
      <c r="I565" s="1"/>
      <c r="J565" s="1"/>
      <c r="K565" s="1"/>
      <c r="L565" s="1"/>
      <c r="M565" s="1"/>
      <c r="N565" s="1"/>
      <c r="O565" s="1"/>
      <c r="P565" s="1"/>
      <c r="Q565" s="1"/>
      <c r="R565" s="1"/>
      <c r="S565" s="1"/>
      <c r="T565" s="1"/>
      <c r="U565" s="1"/>
    </row>
    <row r="566" ht="15.75" customHeight="1">
      <c r="A566" s="1"/>
      <c r="B566" s="1"/>
      <c r="C566" s="1"/>
      <c r="D566" s="2"/>
      <c r="E566" s="1"/>
      <c r="F566" s="1"/>
      <c r="G566" s="1"/>
      <c r="H566" s="1"/>
      <c r="I566" s="1"/>
      <c r="J566" s="1"/>
      <c r="K566" s="1"/>
      <c r="L566" s="1"/>
      <c r="M566" s="1"/>
      <c r="N566" s="1"/>
      <c r="O566" s="1"/>
      <c r="P566" s="1"/>
      <c r="Q566" s="1"/>
      <c r="R566" s="1"/>
      <c r="S566" s="1"/>
      <c r="T566" s="1"/>
      <c r="U566" s="1"/>
    </row>
    <row r="567" ht="15.75" customHeight="1">
      <c r="A567" s="1"/>
      <c r="B567" s="1"/>
      <c r="C567" s="1"/>
      <c r="D567" s="2"/>
      <c r="E567" s="1"/>
      <c r="F567" s="1"/>
      <c r="G567" s="1"/>
      <c r="H567" s="1"/>
      <c r="I567" s="1"/>
      <c r="J567" s="1"/>
      <c r="K567" s="1"/>
      <c r="L567" s="1"/>
      <c r="M567" s="1"/>
      <c r="N567" s="1"/>
      <c r="O567" s="1"/>
      <c r="P567" s="1"/>
      <c r="Q567" s="1"/>
      <c r="R567" s="1"/>
      <c r="S567" s="1"/>
      <c r="T567" s="1"/>
      <c r="U567" s="1"/>
    </row>
    <row r="568" ht="15.75" customHeight="1">
      <c r="A568" s="1"/>
      <c r="B568" s="1"/>
      <c r="C568" s="1"/>
      <c r="D568" s="2"/>
      <c r="E568" s="1"/>
      <c r="F568" s="1"/>
      <c r="G568" s="1"/>
      <c r="H568" s="1"/>
      <c r="I568" s="1"/>
      <c r="J568" s="1"/>
      <c r="K568" s="1"/>
      <c r="L568" s="1"/>
      <c r="M568" s="1"/>
      <c r="N568" s="1"/>
      <c r="O568" s="1"/>
      <c r="P568" s="1"/>
      <c r="Q568" s="1"/>
      <c r="R568" s="1"/>
      <c r="S568" s="1"/>
      <c r="T568" s="1"/>
      <c r="U568" s="1"/>
    </row>
    <row r="569" ht="15.75" customHeight="1">
      <c r="A569" s="1"/>
      <c r="B569" s="1"/>
      <c r="C569" s="1"/>
      <c r="D569" s="2"/>
      <c r="E569" s="1"/>
      <c r="F569" s="1"/>
      <c r="G569" s="1"/>
      <c r="H569" s="1"/>
      <c r="I569" s="1"/>
      <c r="J569" s="1"/>
      <c r="K569" s="1"/>
      <c r="L569" s="1"/>
      <c r="M569" s="1"/>
      <c r="N569" s="1"/>
      <c r="O569" s="1"/>
      <c r="P569" s="1"/>
      <c r="Q569" s="1"/>
      <c r="R569" s="1"/>
      <c r="S569" s="1"/>
      <c r="T569" s="1"/>
      <c r="U569" s="1"/>
    </row>
    <row r="570" ht="15.75" customHeight="1">
      <c r="A570" s="1"/>
      <c r="B570" s="1"/>
      <c r="C570" s="1"/>
      <c r="D570" s="2"/>
      <c r="E570" s="1"/>
      <c r="F570" s="1"/>
      <c r="G570" s="1"/>
      <c r="H570" s="1"/>
      <c r="I570" s="1"/>
      <c r="J570" s="1"/>
      <c r="K570" s="1"/>
      <c r="L570" s="1"/>
      <c r="M570" s="1"/>
      <c r="N570" s="1"/>
      <c r="O570" s="1"/>
      <c r="P570" s="1"/>
      <c r="Q570" s="1"/>
      <c r="R570" s="1"/>
      <c r="S570" s="1"/>
      <c r="T570" s="1"/>
      <c r="U570" s="1"/>
    </row>
    <row r="571" ht="15.75" customHeight="1">
      <c r="A571" s="1"/>
      <c r="B571" s="1"/>
      <c r="C571" s="1"/>
      <c r="D571" s="2"/>
      <c r="E571" s="1"/>
      <c r="F571" s="1"/>
      <c r="G571" s="1"/>
      <c r="H571" s="1"/>
      <c r="I571" s="1"/>
      <c r="J571" s="1"/>
      <c r="K571" s="1"/>
      <c r="L571" s="1"/>
      <c r="M571" s="1"/>
      <c r="N571" s="1"/>
      <c r="O571" s="1"/>
      <c r="P571" s="1"/>
      <c r="Q571" s="1"/>
      <c r="R571" s="1"/>
      <c r="S571" s="1"/>
      <c r="T571" s="1"/>
      <c r="U571" s="1"/>
    </row>
    <row r="572" ht="15.75" customHeight="1">
      <c r="A572" s="1"/>
      <c r="B572" s="1"/>
      <c r="C572" s="1"/>
      <c r="D572" s="2"/>
      <c r="E572" s="1"/>
      <c r="F572" s="1"/>
      <c r="G572" s="1"/>
      <c r="H572" s="1"/>
      <c r="I572" s="1"/>
      <c r="J572" s="1"/>
      <c r="K572" s="1"/>
      <c r="L572" s="1"/>
      <c r="M572" s="1"/>
      <c r="N572" s="1"/>
      <c r="O572" s="1"/>
      <c r="P572" s="1"/>
      <c r="Q572" s="1"/>
      <c r="R572" s="1"/>
      <c r="S572" s="1"/>
      <c r="T572" s="1"/>
      <c r="U572" s="1"/>
    </row>
    <row r="573" ht="15.75" customHeight="1">
      <c r="A573" s="1"/>
      <c r="B573" s="1"/>
      <c r="C573" s="1"/>
      <c r="D573" s="2"/>
      <c r="E573" s="1"/>
      <c r="F573" s="1"/>
      <c r="G573" s="1"/>
      <c r="H573" s="1"/>
      <c r="I573" s="1"/>
      <c r="J573" s="1"/>
      <c r="K573" s="1"/>
      <c r="L573" s="1"/>
      <c r="M573" s="1"/>
      <c r="N573" s="1"/>
      <c r="O573" s="1"/>
      <c r="P573" s="1"/>
      <c r="Q573" s="1"/>
      <c r="R573" s="1"/>
      <c r="S573" s="1"/>
      <c r="T573" s="1"/>
      <c r="U573" s="1"/>
    </row>
    <row r="574" ht="15.75" customHeight="1">
      <c r="A574" s="1"/>
      <c r="B574" s="1"/>
      <c r="C574" s="1"/>
      <c r="D574" s="2"/>
      <c r="E574" s="1"/>
      <c r="F574" s="1"/>
      <c r="G574" s="1"/>
      <c r="H574" s="1"/>
      <c r="I574" s="1"/>
      <c r="J574" s="1"/>
      <c r="K574" s="1"/>
      <c r="L574" s="1"/>
      <c r="M574" s="1"/>
      <c r="N574" s="1"/>
      <c r="O574" s="1"/>
      <c r="P574" s="1"/>
      <c r="Q574" s="1"/>
      <c r="R574" s="1"/>
      <c r="S574" s="1"/>
      <c r="T574" s="1"/>
      <c r="U574" s="1"/>
    </row>
    <row r="575" ht="15.75" customHeight="1">
      <c r="A575" s="1"/>
      <c r="B575" s="1"/>
      <c r="C575" s="1"/>
      <c r="D575" s="2"/>
      <c r="E575" s="1"/>
      <c r="F575" s="1"/>
      <c r="G575" s="1"/>
      <c r="H575" s="1"/>
      <c r="I575" s="1"/>
      <c r="J575" s="1"/>
      <c r="K575" s="1"/>
      <c r="L575" s="1"/>
      <c r="M575" s="1"/>
      <c r="N575" s="1"/>
      <c r="O575" s="1"/>
      <c r="P575" s="1"/>
      <c r="Q575" s="1"/>
      <c r="R575" s="1"/>
      <c r="S575" s="1"/>
      <c r="T575" s="1"/>
      <c r="U575" s="1"/>
    </row>
    <row r="576" ht="15.75" customHeight="1">
      <c r="A576" s="1"/>
      <c r="B576" s="1"/>
      <c r="C576" s="1"/>
      <c r="D576" s="2"/>
      <c r="E576" s="1"/>
      <c r="F576" s="1"/>
      <c r="G576" s="1"/>
      <c r="H576" s="1"/>
      <c r="I576" s="1"/>
      <c r="J576" s="1"/>
      <c r="K576" s="1"/>
      <c r="L576" s="1"/>
      <c r="M576" s="1"/>
      <c r="N576" s="1"/>
      <c r="O576" s="1"/>
      <c r="P576" s="1"/>
      <c r="Q576" s="1"/>
      <c r="R576" s="1"/>
      <c r="S576" s="1"/>
      <c r="T576" s="1"/>
      <c r="U576" s="1"/>
    </row>
    <row r="577" ht="15.75" customHeight="1">
      <c r="A577" s="1"/>
      <c r="B577" s="1"/>
      <c r="C577" s="1"/>
      <c r="D577" s="2"/>
      <c r="E577" s="1"/>
      <c r="F577" s="1"/>
      <c r="G577" s="1"/>
      <c r="H577" s="1"/>
      <c r="I577" s="1"/>
      <c r="J577" s="1"/>
      <c r="K577" s="1"/>
      <c r="L577" s="1"/>
      <c r="M577" s="1"/>
      <c r="N577" s="1"/>
      <c r="O577" s="1"/>
      <c r="P577" s="1"/>
      <c r="Q577" s="1"/>
      <c r="R577" s="1"/>
      <c r="S577" s="1"/>
      <c r="T577" s="1"/>
      <c r="U577" s="1"/>
    </row>
    <row r="578" ht="15.75" customHeight="1">
      <c r="A578" s="1"/>
      <c r="B578" s="1"/>
      <c r="C578" s="1"/>
      <c r="D578" s="2"/>
      <c r="E578" s="1"/>
      <c r="F578" s="1"/>
      <c r="G578" s="1"/>
      <c r="H578" s="1"/>
      <c r="I578" s="1"/>
      <c r="J578" s="1"/>
      <c r="K578" s="1"/>
      <c r="L578" s="1"/>
      <c r="M578" s="1"/>
      <c r="N578" s="1"/>
      <c r="O578" s="1"/>
      <c r="P578" s="1"/>
      <c r="Q578" s="1"/>
      <c r="R578" s="1"/>
      <c r="S578" s="1"/>
      <c r="T578" s="1"/>
      <c r="U578" s="1"/>
    </row>
    <row r="579" ht="15.75" customHeight="1">
      <c r="A579" s="1"/>
      <c r="B579" s="1"/>
      <c r="C579" s="1"/>
      <c r="D579" s="2"/>
      <c r="E579" s="1"/>
      <c r="F579" s="1"/>
      <c r="G579" s="1"/>
      <c r="H579" s="1"/>
      <c r="I579" s="1"/>
      <c r="J579" s="1"/>
      <c r="K579" s="1"/>
      <c r="L579" s="1"/>
      <c r="M579" s="1"/>
      <c r="N579" s="1"/>
      <c r="O579" s="1"/>
      <c r="P579" s="1"/>
      <c r="Q579" s="1"/>
      <c r="R579" s="1"/>
      <c r="S579" s="1"/>
      <c r="T579" s="1"/>
      <c r="U579" s="1"/>
    </row>
    <row r="580" ht="15.75" customHeight="1">
      <c r="A580" s="1"/>
      <c r="B580" s="1"/>
      <c r="C580" s="1"/>
      <c r="D580" s="2"/>
      <c r="E580" s="1"/>
      <c r="F580" s="1"/>
      <c r="G580" s="1"/>
      <c r="H580" s="1"/>
      <c r="I580" s="1"/>
      <c r="J580" s="1"/>
      <c r="K580" s="1"/>
      <c r="L580" s="1"/>
      <c r="M580" s="1"/>
      <c r="N580" s="1"/>
      <c r="O580" s="1"/>
      <c r="P580" s="1"/>
      <c r="Q580" s="1"/>
      <c r="R580" s="1"/>
      <c r="S580" s="1"/>
      <c r="T580" s="1"/>
      <c r="U580" s="1"/>
    </row>
    <row r="581" ht="15.75" customHeight="1">
      <c r="A581" s="1"/>
      <c r="B581" s="1"/>
      <c r="C581" s="1"/>
      <c r="D581" s="2"/>
      <c r="E581" s="1"/>
      <c r="F581" s="1"/>
      <c r="G581" s="1"/>
      <c r="H581" s="1"/>
      <c r="I581" s="1"/>
      <c r="J581" s="1"/>
      <c r="K581" s="1"/>
      <c r="L581" s="1"/>
      <c r="M581" s="1"/>
      <c r="N581" s="1"/>
      <c r="O581" s="1"/>
      <c r="P581" s="1"/>
      <c r="Q581" s="1"/>
      <c r="R581" s="1"/>
      <c r="S581" s="1"/>
      <c r="T581" s="1"/>
      <c r="U581" s="1"/>
    </row>
    <row r="582" ht="15.75" customHeight="1">
      <c r="A582" s="1"/>
      <c r="B582" s="1"/>
      <c r="C582" s="1"/>
      <c r="D582" s="2"/>
      <c r="E582" s="1"/>
      <c r="F582" s="1"/>
      <c r="G582" s="1"/>
      <c r="H582" s="1"/>
      <c r="I582" s="1"/>
      <c r="J582" s="1"/>
      <c r="K582" s="1"/>
      <c r="L582" s="1"/>
      <c r="M582" s="1"/>
      <c r="N582" s="1"/>
      <c r="O582" s="1"/>
      <c r="P582" s="1"/>
      <c r="Q582" s="1"/>
      <c r="R582" s="1"/>
      <c r="S582" s="1"/>
      <c r="T582" s="1"/>
      <c r="U582" s="1"/>
    </row>
    <row r="583" ht="15.75" customHeight="1">
      <c r="A583" s="1"/>
      <c r="B583" s="1"/>
      <c r="C583" s="1"/>
      <c r="D583" s="2"/>
      <c r="E583" s="1"/>
      <c r="F583" s="1"/>
      <c r="G583" s="1"/>
      <c r="H583" s="1"/>
      <c r="I583" s="1"/>
      <c r="J583" s="1"/>
      <c r="K583" s="1"/>
      <c r="L583" s="1"/>
      <c r="M583" s="1"/>
      <c r="N583" s="1"/>
      <c r="O583" s="1"/>
      <c r="P583" s="1"/>
      <c r="Q583" s="1"/>
      <c r="R583" s="1"/>
      <c r="S583" s="1"/>
      <c r="T583" s="1"/>
      <c r="U583" s="1"/>
    </row>
    <row r="584" ht="15.75" customHeight="1">
      <c r="A584" s="1"/>
      <c r="B584" s="1"/>
      <c r="C584" s="1"/>
      <c r="D584" s="2"/>
      <c r="E584" s="1"/>
      <c r="F584" s="1"/>
      <c r="G584" s="1"/>
      <c r="H584" s="1"/>
      <c r="I584" s="1"/>
      <c r="J584" s="1"/>
      <c r="K584" s="1"/>
      <c r="L584" s="1"/>
      <c r="M584" s="1"/>
      <c r="N584" s="1"/>
      <c r="O584" s="1"/>
      <c r="P584" s="1"/>
      <c r="Q584" s="1"/>
      <c r="R584" s="1"/>
      <c r="S584" s="1"/>
      <c r="T584" s="1"/>
      <c r="U584" s="1"/>
    </row>
    <row r="585" ht="15.75" customHeight="1">
      <c r="A585" s="1"/>
      <c r="B585" s="1"/>
      <c r="C585" s="1"/>
      <c r="D585" s="2"/>
      <c r="E585" s="1"/>
      <c r="F585" s="1"/>
      <c r="G585" s="1"/>
      <c r="H585" s="1"/>
      <c r="I585" s="1"/>
      <c r="J585" s="1"/>
      <c r="K585" s="1"/>
      <c r="L585" s="1"/>
      <c r="M585" s="1"/>
      <c r="N585" s="1"/>
      <c r="O585" s="1"/>
      <c r="P585" s="1"/>
      <c r="Q585" s="1"/>
      <c r="R585" s="1"/>
      <c r="S585" s="1"/>
      <c r="T585" s="1"/>
      <c r="U585" s="1"/>
    </row>
    <row r="586" ht="15.75" customHeight="1">
      <c r="A586" s="1"/>
      <c r="B586" s="1"/>
      <c r="C586" s="1"/>
      <c r="D586" s="2"/>
      <c r="E586" s="1"/>
      <c r="F586" s="1"/>
      <c r="G586" s="1"/>
      <c r="H586" s="1"/>
      <c r="I586" s="1"/>
      <c r="J586" s="1"/>
      <c r="K586" s="1"/>
      <c r="L586" s="1"/>
      <c r="M586" s="1"/>
      <c r="N586" s="1"/>
      <c r="O586" s="1"/>
      <c r="P586" s="1"/>
      <c r="Q586" s="1"/>
      <c r="R586" s="1"/>
      <c r="S586" s="1"/>
      <c r="T586" s="1"/>
      <c r="U586" s="1"/>
    </row>
    <row r="587" ht="15.75" customHeight="1">
      <c r="A587" s="1"/>
      <c r="B587" s="1"/>
      <c r="C587" s="1"/>
      <c r="D587" s="2"/>
      <c r="E587" s="1"/>
      <c r="F587" s="1"/>
      <c r="G587" s="1"/>
      <c r="H587" s="1"/>
      <c r="I587" s="1"/>
      <c r="J587" s="1"/>
      <c r="K587" s="1"/>
      <c r="L587" s="1"/>
      <c r="M587" s="1"/>
      <c r="N587" s="1"/>
      <c r="O587" s="1"/>
      <c r="P587" s="1"/>
      <c r="Q587" s="1"/>
      <c r="R587" s="1"/>
      <c r="S587" s="1"/>
      <c r="T587" s="1"/>
      <c r="U587" s="1"/>
    </row>
    <row r="588" ht="15.75" customHeight="1">
      <c r="A588" s="1"/>
      <c r="B588" s="1"/>
      <c r="C588" s="1"/>
      <c r="D588" s="2"/>
      <c r="E588" s="1"/>
      <c r="F588" s="1"/>
      <c r="G588" s="1"/>
      <c r="H588" s="1"/>
      <c r="I588" s="1"/>
      <c r="J588" s="1"/>
      <c r="K588" s="1"/>
      <c r="L588" s="1"/>
      <c r="M588" s="1"/>
      <c r="N588" s="1"/>
      <c r="O588" s="1"/>
      <c r="P588" s="1"/>
      <c r="Q588" s="1"/>
      <c r="R588" s="1"/>
      <c r="S588" s="1"/>
      <c r="T588" s="1"/>
      <c r="U588" s="1"/>
    </row>
    <row r="589" ht="15.75" customHeight="1">
      <c r="A589" s="1"/>
      <c r="B589" s="1"/>
      <c r="C589" s="1"/>
      <c r="D589" s="2"/>
      <c r="E589" s="1"/>
      <c r="F589" s="1"/>
      <c r="G589" s="1"/>
      <c r="H589" s="1"/>
      <c r="I589" s="1"/>
      <c r="J589" s="1"/>
      <c r="K589" s="1"/>
      <c r="L589" s="1"/>
      <c r="M589" s="1"/>
      <c r="N589" s="1"/>
      <c r="O589" s="1"/>
      <c r="P589" s="1"/>
      <c r="Q589" s="1"/>
      <c r="R589" s="1"/>
      <c r="S589" s="1"/>
      <c r="T589" s="1"/>
      <c r="U589" s="1"/>
    </row>
    <row r="590" ht="15.75" customHeight="1">
      <c r="A590" s="1"/>
      <c r="B590" s="1"/>
      <c r="C590" s="1"/>
      <c r="D590" s="2"/>
      <c r="E590" s="1"/>
      <c r="F590" s="1"/>
      <c r="G590" s="1"/>
      <c r="H590" s="1"/>
      <c r="I590" s="1"/>
      <c r="J590" s="1"/>
      <c r="K590" s="1"/>
      <c r="L590" s="1"/>
      <c r="M590" s="1"/>
      <c r="N590" s="1"/>
      <c r="O590" s="1"/>
      <c r="P590" s="1"/>
      <c r="Q590" s="1"/>
      <c r="R590" s="1"/>
      <c r="S590" s="1"/>
      <c r="T590" s="1"/>
      <c r="U590" s="1"/>
    </row>
    <row r="591" ht="15.75" customHeight="1">
      <c r="A591" s="1"/>
      <c r="B591" s="1"/>
      <c r="C591" s="1"/>
      <c r="D591" s="2"/>
      <c r="E591" s="1"/>
      <c r="F591" s="1"/>
      <c r="G591" s="1"/>
      <c r="H591" s="1"/>
      <c r="I591" s="1"/>
      <c r="J591" s="1"/>
      <c r="K591" s="1"/>
      <c r="L591" s="1"/>
      <c r="M591" s="1"/>
      <c r="N591" s="1"/>
      <c r="O591" s="1"/>
      <c r="P591" s="1"/>
      <c r="Q591" s="1"/>
      <c r="R591" s="1"/>
      <c r="S591" s="1"/>
      <c r="T591" s="1"/>
      <c r="U591" s="1"/>
    </row>
    <row r="592" ht="15.75" customHeight="1">
      <c r="A592" s="1"/>
      <c r="B592" s="1"/>
      <c r="C592" s="1"/>
      <c r="D592" s="2"/>
      <c r="E592" s="1"/>
      <c r="F592" s="1"/>
      <c r="G592" s="1"/>
      <c r="H592" s="1"/>
      <c r="I592" s="1"/>
      <c r="J592" s="1"/>
      <c r="K592" s="1"/>
      <c r="L592" s="1"/>
      <c r="M592" s="1"/>
      <c r="N592" s="1"/>
      <c r="O592" s="1"/>
      <c r="P592" s="1"/>
      <c r="Q592" s="1"/>
      <c r="R592" s="1"/>
      <c r="S592" s="1"/>
      <c r="T592" s="1"/>
      <c r="U592" s="1"/>
    </row>
    <row r="593" ht="15.75" customHeight="1">
      <c r="A593" s="1"/>
      <c r="B593" s="1"/>
      <c r="C593" s="1"/>
      <c r="D593" s="2"/>
      <c r="E593" s="1"/>
      <c r="F593" s="1"/>
      <c r="G593" s="1"/>
      <c r="H593" s="1"/>
      <c r="I593" s="1"/>
      <c r="J593" s="1"/>
      <c r="K593" s="1"/>
      <c r="L593" s="1"/>
      <c r="M593" s="1"/>
      <c r="N593" s="1"/>
      <c r="O593" s="1"/>
      <c r="P593" s="1"/>
      <c r="Q593" s="1"/>
      <c r="R593" s="1"/>
      <c r="S593" s="1"/>
      <c r="T593" s="1"/>
      <c r="U593" s="1"/>
    </row>
    <row r="594" ht="15.75" customHeight="1">
      <c r="A594" s="1"/>
      <c r="B594" s="1"/>
      <c r="C594" s="1"/>
      <c r="D594" s="2"/>
      <c r="E594" s="1"/>
      <c r="F594" s="1"/>
      <c r="G594" s="1"/>
      <c r="H594" s="1"/>
      <c r="I594" s="1"/>
      <c r="J594" s="1"/>
      <c r="K594" s="1"/>
      <c r="L594" s="1"/>
      <c r="M594" s="1"/>
      <c r="N594" s="1"/>
      <c r="O594" s="1"/>
      <c r="P594" s="1"/>
      <c r="Q594" s="1"/>
      <c r="R594" s="1"/>
      <c r="S594" s="1"/>
      <c r="T594" s="1"/>
      <c r="U594" s="1"/>
    </row>
    <row r="595" ht="15.75" customHeight="1">
      <c r="A595" s="1"/>
      <c r="B595" s="1"/>
      <c r="C595" s="1"/>
      <c r="D595" s="2"/>
      <c r="E595" s="1"/>
      <c r="F595" s="1"/>
      <c r="G595" s="1"/>
      <c r="H595" s="1"/>
      <c r="I595" s="1"/>
      <c r="J595" s="1"/>
      <c r="K595" s="1"/>
      <c r="L595" s="1"/>
      <c r="M595" s="1"/>
      <c r="N595" s="1"/>
      <c r="O595" s="1"/>
      <c r="P595" s="1"/>
      <c r="Q595" s="1"/>
      <c r="R595" s="1"/>
      <c r="S595" s="1"/>
      <c r="T595" s="1"/>
      <c r="U595" s="1"/>
    </row>
    <row r="596" ht="15.75" customHeight="1">
      <c r="A596" s="1"/>
      <c r="B596" s="1"/>
      <c r="C596" s="1"/>
      <c r="D596" s="2"/>
      <c r="E596" s="1"/>
      <c r="F596" s="1"/>
      <c r="G596" s="1"/>
      <c r="H596" s="1"/>
      <c r="I596" s="1"/>
      <c r="J596" s="1"/>
      <c r="K596" s="1"/>
      <c r="L596" s="1"/>
      <c r="M596" s="1"/>
      <c r="N596" s="1"/>
      <c r="O596" s="1"/>
      <c r="P596" s="1"/>
      <c r="Q596" s="1"/>
      <c r="R596" s="1"/>
      <c r="S596" s="1"/>
      <c r="T596" s="1"/>
      <c r="U596" s="1"/>
    </row>
    <row r="597" ht="15.75" customHeight="1">
      <c r="A597" s="1"/>
      <c r="B597" s="1"/>
      <c r="C597" s="1"/>
      <c r="D597" s="2"/>
      <c r="E597" s="1"/>
      <c r="F597" s="1"/>
      <c r="G597" s="1"/>
      <c r="H597" s="1"/>
      <c r="I597" s="1"/>
      <c r="J597" s="1"/>
      <c r="K597" s="1"/>
      <c r="L597" s="1"/>
      <c r="M597" s="1"/>
      <c r="N597" s="1"/>
      <c r="O597" s="1"/>
      <c r="P597" s="1"/>
      <c r="Q597" s="1"/>
      <c r="R597" s="1"/>
      <c r="S597" s="1"/>
      <c r="T597" s="1"/>
      <c r="U597" s="1"/>
    </row>
    <row r="598" ht="15.75" customHeight="1">
      <c r="A598" s="1"/>
      <c r="B598" s="1"/>
      <c r="C598" s="1"/>
      <c r="D598" s="2"/>
      <c r="E598" s="1"/>
      <c r="F598" s="1"/>
      <c r="G598" s="1"/>
      <c r="H598" s="1"/>
      <c r="I598" s="1"/>
      <c r="J598" s="1"/>
      <c r="K598" s="1"/>
      <c r="L598" s="1"/>
      <c r="M598" s="1"/>
      <c r="N598" s="1"/>
      <c r="O598" s="1"/>
      <c r="P598" s="1"/>
      <c r="Q598" s="1"/>
      <c r="R598" s="1"/>
      <c r="S598" s="1"/>
      <c r="T598" s="1"/>
      <c r="U598" s="1"/>
    </row>
    <row r="599" ht="15.75" customHeight="1">
      <c r="A599" s="1"/>
      <c r="B599" s="1"/>
      <c r="C599" s="1"/>
      <c r="D599" s="2"/>
      <c r="E599" s="1"/>
      <c r="F599" s="1"/>
      <c r="G599" s="1"/>
      <c r="H599" s="1"/>
      <c r="I599" s="1"/>
      <c r="J599" s="1"/>
      <c r="K599" s="1"/>
      <c r="L599" s="1"/>
      <c r="M599" s="1"/>
      <c r="N599" s="1"/>
      <c r="O599" s="1"/>
      <c r="P599" s="1"/>
      <c r="Q599" s="1"/>
      <c r="R599" s="1"/>
      <c r="S599" s="1"/>
      <c r="T599" s="1"/>
      <c r="U599" s="1"/>
    </row>
    <row r="600" ht="15.75" customHeight="1">
      <c r="A600" s="1"/>
      <c r="B600" s="1"/>
      <c r="C600" s="1"/>
      <c r="D600" s="2"/>
      <c r="E600" s="1"/>
      <c r="F600" s="1"/>
      <c r="G600" s="1"/>
      <c r="H600" s="1"/>
      <c r="I600" s="1"/>
      <c r="J600" s="1"/>
      <c r="K600" s="1"/>
      <c r="L600" s="1"/>
      <c r="M600" s="1"/>
      <c r="N600" s="1"/>
      <c r="O600" s="1"/>
      <c r="P600" s="1"/>
      <c r="Q600" s="1"/>
      <c r="R600" s="1"/>
      <c r="S600" s="1"/>
      <c r="T600" s="1"/>
      <c r="U600" s="1"/>
    </row>
    <row r="601" ht="15.75" customHeight="1">
      <c r="A601" s="1"/>
      <c r="B601" s="1"/>
      <c r="C601" s="1"/>
      <c r="D601" s="2"/>
      <c r="E601" s="1"/>
      <c r="F601" s="1"/>
      <c r="G601" s="1"/>
      <c r="H601" s="1"/>
      <c r="I601" s="1"/>
      <c r="J601" s="1"/>
      <c r="K601" s="1"/>
      <c r="L601" s="1"/>
      <c r="M601" s="1"/>
      <c r="N601" s="1"/>
      <c r="O601" s="1"/>
      <c r="P601" s="1"/>
      <c r="Q601" s="1"/>
      <c r="R601" s="1"/>
      <c r="S601" s="1"/>
      <c r="T601" s="1"/>
      <c r="U601" s="1"/>
    </row>
    <row r="602" ht="15.75" customHeight="1">
      <c r="A602" s="1"/>
      <c r="B602" s="1"/>
      <c r="C602" s="1"/>
      <c r="D602" s="2"/>
      <c r="E602" s="1"/>
      <c r="F602" s="1"/>
      <c r="G602" s="1"/>
      <c r="H602" s="1"/>
      <c r="I602" s="1"/>
      <c r="J602" s="1"/>
      <c r="K602" s="1"/>
      <c r="L602" s="1"/>
      <c r="M602" s="1"/>
      <c r="N602" s="1"/>
      <c r="O602" s="1"/>
      <c r="P602" s="1"/>
      <c r="Q602" s="1"/>
      <c r="R602" s="1"/>
      <c r="S602" s="1"/>
      <c r="T602" s="1"/>
      <c r="U602" s="1"/>
    </row>
    <row r="603" ht="15.75" customHeight="1">
      <c r="A603" s="1"/>
      <c r="B603" s="1"/>
      <c r="C603" s="1"/>
      <c r="D603" s="2"/>
      <c r="E603" s="1"/>
      <c r="F603" s="1"/>
      <c r="G603" s="1"/>
      <c r="H603" s="1"/>
      <c r="I603" s="1"/>
      <c r="J603" s="1"/>
      <c r="K603" s="1"/>
      <c r="L603" s="1"/>
      <c r="M603" s="1"/>
      <c r="N603" s="1"/>
      <c r="O603" s="1"/>
      <c r="P603" s="1"/>
      <c r="Q603" s="1"/>
      <c r="R603" s="1"/>
      <c r="S603" s="1"/>
      <c r="T603" s="1"/>
      <c r="U603" s="1"/>
    </row>
    <row r="604" ht="15.75" customHeight="1">
      <c r="A604" s="1"/>
      <c r="B604" s="1"/>
      <c r="C604" s="1"/>
      <c r="D604" s="2"/>
      <c r="E604" s="1"/>
      <c r="F604" s="1"/>
      <c r="G604" s="1"/>
      <c r="H604" s="1"/>
      <c r="I604" s="1"/>
      <c r="J604" s="1"/>
      <c r="K604" s="1"/>
      <c r="L604" s="1"/>
      <c r="M604" s="1"/>
      <c r="N604" s="1"/>
      <c r="O604" s="1"/>
      <c r="P604" s="1"/>
      <c r="Q604" s="1"/>
      <c r="R604" s="1"/>
      <c r="S604" s="1"/>
      <c r="T604" s="1"/>
      <c r="U604" s="1"/>
    </row>
    <row r="605" ht="15.75" customHeight="1">
      <c r="A605" s="1"/>
      <c r="B605" s="1"/>
      <c r="C605" s="1"/>
      <c r="D605" s="2"/>
      <c r="E605" s="1"/>
      <c r="F605" s="1"/>
      <c r="G605" s="1"/>
      <c r="H605" s="1"/>
      <c r="I605" s="1"/>
      <c r="J605" s="1"/>
      <c r="K605" s="1"/>
      <c r="L605" s="1"/>
      <c r="M605" s="1"/>
      <c r="N605" s="1"/>
      <c r="O605" s="1"/>
      <c r="P605" s="1"/>
      <c r="Q605" s="1"/>
      <c r="R605" s="1"/>
      <c r="S605" s="1"/>
      <c r="T605" s="1"/>
      <c r="U605" s="1"/>
    </row>
    <row r="606" ht="15.75" customHeight="1">
      <c r="A606" s="1"/>
      <c r="B606" s="1"/>
      <c r="C606" s="1"/>
      <c r="D606" s="2"/>
      <c r="E606" s="1"/>
      <c r="F606" s="1"/>
      <c r="G606" s="1"/>
      <c r="H606" s="1"/>
      <c r="I606" s="1"/>
      <c r="J606" s="1"/>
      <c r="K606" s="1"/>
      <c r="L606" s="1"/>
      <c r="M606" s="1"/>
      <c r="N606" s="1"/>
      <c r="O606" s="1"/>
      <c r="P606" s="1"/>
      <c r="Q606" s="1"/>
      <c r="R606" s="1"/>
      <c r="S606" s="1"/>
      <c r="T606" s="1"/>
      <c r="U606" s="1"/>
    </row>
    <row r="607" ht="15.75" customHeight="1">
      <c r="A607" s="1"/>
      <c r="B607" s="1"/>
      <c r="C607" s="1"/>
      <c r="D607" s="2"/>
      <c r="E607" s="1"/>
      <c r="F607" s="1"/>
      <c r="G607" s="1"/>
      <c r="H607" s="1"/>
      <c r="I607" s="1"/>
      <c r="J607" s="1"/>
      <c r="K607" s="1"/>
      <c r="L607" s="1"/>
      <c r="M607" s="1"/>
      <c r="N607" s="1"/>
      <c r="O607" s="1"/>
      <c r="P607" s="1"/>
      <c r="Q607" s="1"/>
      <c r="R607" s="1"/>
      <c r="S607" s="1"/>
      <c r="T607" s="1"/>
      <c r="U607" s="1"/>
    </row>
    <row r="608" ht="15.75" customHeight="1">
      <c r="A608" s="1"/>
      <c r="B608" s="1"/>
      <c r="C608" s="1"/>
      <c r="D608" s="2"/>
      <c r="E608" s="1"/>
      <c r="F608" s="1"/>
      <c r="G608" s="1"/>
      <c r="H608" s="1"/>
      <c r="I608" s="1"/>
      <c r="J608" s="1"/>
      <c r="K608" s="1"/>
      <c r="L608" s="1"/>
      <c r="M608" s="1"/>
      <c r="N608" s="1"/>
      <c r="O608" s="1"/>
      <c r="P608" s="1"/>
      <c r="Q608" s="1"/>
      <c r="R608" s="1"/>
      <c r="S608" s="1"/>
      <c r="T608" s="1"/>
      <c r="U608" s="1"/>
    </row>
    <row r="609" ht="15.75" customHeight="1">
      <c r="A609" s="1"/>
      <c r="B609" s="1"/>
      <c r="C609" s="1"/>
      <c r="D609" s="2"/>
      <c r="E609" s="1"/>
      <c r="F609" s="1"/>
      <c r="G609" s="1"/>
      <c r="H609" s="1"/>
      <c r="I609" s="1"/>
      <c r="J609" s="1"/>
      <c r="K609" s="1"/>
      <c r="L609" s="1"/>
      <c r="M609" s="1"/>
      <c r="N609" s="1"/>
      <c r="O609" s="1"/>
      <c r="P609" s="1"/>
      <c r="Q609" s="1"/>
      <c r="R609" s="1"/>
      <c r="S609" s="1"/>
      <c r="T609" s="1"/>
      <c r="U609" s="1"/>
    </row>
    <row r="610" ht="15.75" customHeight="1">
      <c r="A610" s="1"/>
      <c r="B610" s="1"/>
      <c r="C610" s="1"/>
      <c r="D610" s="2"/>
      <c r="E610" s="1"/>
      <c r="F610" s="1"/>
      <c r="G610" s="1"/>
      <c r="H610" s="1"/>
      <c r="I610" s="1"/>
      <c r="J610" s="1"/>
      <c r="K610" s="1"/>
      <c r="L610" s="1"/>
      <c r="M610" s="1"/>
      <c r="N610" s="1"/>
      <c r="O610" s="1"/>
      <c r="P610" s="1"/>
      <c r="Q610" s="1"/>
      <c r="R610" s="1"/>
      <c r="S610" s="1"/>
      <c r="T610" s="1"/>
      <c r="U610" s="1"/>
    </row>
    <row r="611" ht="15.75" customHeight="1">
      <c r="A611" s="1"/>
      <c r="B611" s="1"/>
      <c r="C611" s="1"/>
      <c r="D611" s="2"/>
      <c r="E611" s="1"/>
      <c r="F611" s="1"/>
      <c r="G611" s="1"/>
      <c r="H611" s="1"/>
      <c r="I611" s="1"/>
      <c r="J611" s="1"/>
      <c r="K611" s="1"/>
      <c r="L611" s="1"/>
      <c r="M611" s="1"/>
      <c r="N611" s="1"/>
      <c r="O611" s="1"/>
      <c r="P611" s="1"/>
      <c r="Q611" s="1"/>
      <c r="R611" s="1"/>
      <c r="S611" s="1"/>
      <c r="T611" s="1"/>
      <c r="U611" s="1"/>
    </row>
    <row r="612" ht="15.75" customHeight="1">
      <c r="A612" s="1"/>
      <c r="B612" s="1"/>
      <c r="C612" s="1"/>
      <c r="D612" s="2"/>
      <c r="E612" s="1"/>
      <c r="F612" s="1"/>
      <c r="G612" s="1"/>
      <c r="H612" s="1"/>
      <c r="I612" s="1"/>
      <c r="J612" s="1"/>
      <c r="K612" s="1"/>
      <c r="L612" s="1"/>
      <c r="M612" s="1"/>
      <c r="N612" s="1"/>
      <c r="O612" s="1"/>
      <c r="P612" s="1"/>
      <c r="Q612" s="1"/>
      <c r="R612" s="1"/>
      <c r="S612" s="1"/>
      <c r="T612" s="1"/>
      <c r="U612" s="1"/>
    </row>
    <row r="613" ht="15.75" customHeight="1">
      <c r="A613" s="1"/>
      <c r="B613" s="1"/>
      <c r="C613" s="1"/>
      <c r="D613" s="2"/>
      <c r="E613" s="1"/>
      <c r="F613" s="1"/>
      <c r="G613" s="1"/>
      <c r="H613" s="1"/>
      <c r="I613" s="1"/>
      <c r="J613" s="1"/>
      <c r="K613" s="1"/>
      <c r="L613" s="1"/>
      <c r="M613" s="1"/>
      <c r="N613" s="1"/>
      <c r="O613" s="1"/>
      <c r="P613" s="1"/>
      <c r="Q613" s="1"/>
      <c r="R613" s="1"/>
      <c r="S613" s="1"/>
      <c r="T613" s="1"/>
      <c r="U613" s="1"/>
    </row>
    <row r="614" ht="15.75" customHeight="1">
      <c r="A614" s="1"/>
      <c r="B614" s="1"/>
      <c r="C614" s="1"/>
      <c r="D614" s="2"/>
      <c r="E614" s="1"/>
      <c r="F614" s="1"/>
      <c r="G614" s="1"/>
      <c r="H614" s="1"/>
      <c r="I614" s="1"/>
      <c r="J614" s="1"/>
      <c r="K614" s="1"/>
      <c r="L614" s="1"/>
      <c r="M614" s="1"/>
      <c r="N614" s="1"/>
      <c r="O614" s="1"/>
      <c r="P614" s="1"/>
      <c r="Q614" s="1"/>
      <c r="R614" s="1"/>
      <c r="S614" s="1"/>
      <c r="T614" s="1"/>
      <c r="U614" s="1"/>
    </row>
    <row r="615" ht="15.75" customHeight="1">
      <c r="A615" s="1"/>
      <c r="B615" s="1"/>
      <c r="C615" s="1"/>
      <c r="D615" s="2"/>
      <c r="E615" s="1"/>
      <c r="F615" s="1"/>
      <c r="G615" s="1"/>
      <c r="H615" s="1"/>
      <c r="I615" s="1"/>
      <c r="J615" s="1"/>
      <c r="K615" s="1"/>
      <c r="L615" s="1"/>
      <c r="M615" s="1"/>
      <c r="N615" s="1"/>
      <c r="O615" s="1"/>
      <c r="P615" s="1"/>
      <c r="Q615" s="1"/>
      <c r="R615" s="1"/>
      <c r="S615" s="1"/>
      <c r="T615" s="1"/>
      <c r="U615" s="1"/>
    </row>
    <row r="616" ht="15.75" customHeight="1">
      <c r="A616" s="1"/>
      <c r="B616" s="1"/>
      <c r="C616" s="1"/>
      <c r="D616" s="2"/>
      <c r="E616" s="1"/>
      <c r="F616" s="1"/>
      <c r="G616" s="1"/>
      <c r="H616" s="1"/>
      <c r="I616" s="1"/>
      <c r="J616" s="1"/>
      <c r="K616" s="1"/>
      <c r="L616" s="1"/>
      <c r="M616" s="1"/>
      <c r="N616" s="1"/>
      <c r="O616" s="1"/>
      <c r="P616" s="1"/>
      <c r="Q616" s="1"/>
      <c r="R616" s="1"/>
      <c r="S616" s="1"/>
      <c r="T616" s="1"/>
      <c r="U616" s="1"/>
    </row>
    <row r="617" ht="15.75" customHeight="1">
      <c r="A617" s="1"/>
      <c r="B617" s="1"/>
      <c r="C617" s="1"/>
      <c r="D617" s="2"/>
      <c r="E617" s="1"/>
      <c r="F617" s="1"/>
      <c r="G617" s="1"/>
      <c r="H617" s="1"/>
      <c r="I617" s="1"/>
      <c r="J617" s="1"/>
      <c r="K617" s="1"/>
      <c r="L617" s="1"/>
      <c r="M617" s="1"/>
      <c r="N617" s="1"/>
      <c r="O617" s="1"/>
      <c r="P617" s="1"/>
      <c r="Q617" s="1"/>
      <c r="R617" s="1"/>
      <c r="S617" s="1"/>
      <c r="T617" s="1"/>
      <c r="U617" s="1"/>
    </row>
    <row r="618" ht="15.75" customHeight="1">
      <c r="A618" s="1"/>
      <c r="B618" s="1"/>
      <c r="C618" s="1"/>
      <c r="D618" s="2"/>
      <c r="E618" s="1"/>
      <c r="F618" s="1"/>
      <c r="G618" s="1"/>
      <c r="H618" s="1"/>
      <c r="I618" s="1"/>
      <c r="J618" s="1"/>
      <c r="K618" s="1"/>
      <c r="L618" s="1"/>
      <c r="M618" s="1"/>
      <c r="N618" s="1"/>
      <c r="O618" s="1"/>
      <c r="P618" s="1"/>
      <c r="Q618" s="1"/>
      <c r="R618" s="1"/>
      <c r="S618" s="1"/>
      <c r="T618" s="1"/>
      <c r="U618" s="1"/>
    </row>
    <row r="619" ht="15.75" customHeight="1">
      <c r="A619" s="1"/>
      <c r="B619" s="1"/>
      <c r="C619" s="1"/>
      <c r="D619" s="2"/>
      <c r="E619" s="1"/>
      <c r="F619" s="1"/>
      <c r="G619" s="1"/>
      <c r="H619" s="1"/>
      <c r="I619" s="1"/>
      <c r="J619" s="1"/>
      <c r="K619" s="1"/>
      <c r="L619" s="1"/>
      <c r="M619" s="1"/>
      <c r="N619" s="1"/>
      <c r="O619" s="1"/>
      <c r="P619" s="1"/>
      <c r="Q619" s="1"/>
      <c r="R619" s="1"/>
      <c r="S619" s="1"/>
      <c r="T619" s="1"/>
      <c r="U619" s="1"/>
    </row>
    <row r="620" ht="15.75" customHeight="1">
      <c r="A620" s="1"/>
      <c r="B620" s="1"/>
      <c r="C620" s="1"/>
      <c r="D620" s="2"/>
      <c r="E620" s="1"/>
      <c r="F620" s="1"/>
      <c r="G620" s="1"/>
      <c r="H620" s="1"/>
      <c r="I620" s="1"/>
      <c r="J620" s="1"/>
      <c r="K620" s="1"/>
      <c r="L620" s="1"/>
      <c r="M620" s="1"/>
      <c r="N620" s="1"/>
      <c r="O620" s="1"/>
      <c r="P620" s="1"/>
      <c r="Q620" s="1"/>
      <c r="R620" s="1"/>
      <c r="S620" s="1"/>
      <c r="T620" s="1"/>
      <c r="U620" s="1"/>
    </row>
    <row r="621" ht="15.75" customHeight="1">
      <c r="A621" s="1"/>
      <c r="B621" s="1"/>
      <c r="C621" s="1"/>
      <c r="D621" s="2"/>
      <c r="E621" s="1"/>
      <c r="F621" s="1"/>
      <c r="G621" s="1"/>
      <c r="H621" s="1"/>
      <c r="I621" s="1"/>
      <c r="J621" s="1"/>
      <c r="K621" s="1"/>
      <c r="L621" s="1"/>
      <c r="M621" s="1"/>
      <c r="N621" s="1"/>
      <c r="O621" s="1"/>
      <c r="P621" s="1"/>
      <c r="Q621" s="1"/>
      <c r="R621" s="1"/>
      <c r="S621" s="1"/>
      <c r="T621" s="1"/>
      <c r="U621" s="1"/>
    </row>
    <row r="622" ht="15.75" customHeight="1">
      <c r="A622" s="1"/>
      <c r="B622" s="1"/>
      <c r="C622" s="1"/>
      <c r="D622" s="2"/>
      <c r="E622" s="1"/>
      <c r="F622" s="1"/>
      <c r="G622" s="1"/>
      <c r="H622" s="1"/>
      <c r="I622" s="1"/>
      <c r="J622" s="1"/>
      <c r="K622" s="1"/>
      <c r="L622" s="1"/>
      <c r="M622" s="1"/>
      <c r="N622" s="1"/>
      <c r="O622" s="1"/>
      <c r="P622" s="1"/>
      <c r="Q622" s="1"/>
      <c r="R622" s="1"/>
      <c r="S622" s="1"/>
      <c r="T622" s="1"/>
      <c r="U622" s="1"/>
    </row>
    <row r="623" ht="15.75" customHeight="1">
      <c r="A623" s="1"/>
      <c r="B623" s="1"/>
      <c r="C623" s="1"/>
      <c r="D623" s="2"/>
      <c r="E623" s="1"/>
      <c r="F623" s="1"/>
      <c r="G623" s="1"/>
      <c r="H623" s="1"/>
      <c r="I623" s="1"/>
      <c r="J623" s="1"/>
      <c r="K623" s="1"/>
      <c r="L623" s="1"/>
      <c r="M623" s="1"/>
      <c r="N623" s="1"/>
      <c r="O623" s="1"/>
      <c r="P623" s="1"/>
      <c r="Q623" s="1"/>
      <c r="R623" s="1"/>
      <c r="S623" s="1"/>
      <c r="T623" s="1"/>
      <c r="U623" s="1"/>
    </row>
    <row r="624" ht="15.75" customHeight="1">
      <c r="A624" s="1"/>
      <c r="B624" s="1"/>
      <c r="C624" s="1"/>
      <c r="D624" s="2"/>
      <c r="E624" s="1"/>
      <c r="F624" s="1"/>
      <c r="G624" s="1"/>
      <c r="H624" s="1"/>
      <c r="I624" s="1"/>
      <c r="J624" s="1"/>
      <c r="K624" s="1"/>
      <c r="L624" s="1"/>
      <c r="M624" s="1"/>
      <c r="N624" s="1"/>
      <c r="O624" s="1"/>
      <c r="P624" s="1"/>
      <c r="Q624" s="1"/>
      <c r="R624" s="1"/>
      <c r="S624" s="1"/>
      <c r="T624" s="1"/>
      <c r="U624" s="1"/>
    </row>
    <row r="625" ht="15.75" customHeight="1">
      <c r="A625" s="1"/>
      <c r="B625" s="1"/>
      <c r="C625" s="1"/>
      <c r="D625" s="2"/>
      <c r="E625" s="1"/>
      <c r="F625" s="1"/>
      <c r="G625" s="1"/>
      <c r="H625" s="1"/>
      <c r="I625" s="1"/>
      <c r="J625" s="1"/>
      <c r="K625" s="1"/>
      <c r="L625" s="1"/>
      <c r="M625" s="1"/>
      <c r="N625" s="1"/>
      <c r="O625" s="1"/>
      <c r="P625" s="1"/>
      <c r="Q625" s="1"/>
      <c r="R625" s="1"/>
      <c r="S625" s="1"/>
      <c r="T625" s="1"/>
      <c r="U625" s="1"/>
    </row>
    <row r="626" ht="15.75" customHeight="1">
      <c r="A626" s="1"/>
      <c r="B626" s="1"/>
      <c r="C626" s="1"/>
      <c r="D626" s="2"/>
      <c r="E626" s="1"/>
      <c r="F626" s="1"/>
      <c r="G626" s="1"/>
      <c r="H626" s="1"/>
      <c r="I626" s="1"/>
      <c r="J626" s="1"/>
      <c r="K626" s="1"/>
      <c r="L626" s="1"/>
      <c r="M626" s="1"/>
      <c r="N626" s="1"/>
      <c r="O626" s="1"/>
      <c r="P626" s="1"/>
      <c r="Q626" s="1"/>
      <c r="R626" s="1"/>
      <c r="S626" s="1"/>
      <c r="T626" s="1"/>
      <c r="U626" s="1"/>
    </row>
    <row r="627" ht="15.75" customHeight="1">
      <c r="A627" s="1"/>
      <c r="B627" s="1"/>
      <c r="C627" s="1"/>
      <c r="D627" s="2"/>
      <c r="E627" s="1"/>
      <c r="F627" s="1"/>
      <c r="G627" s="1"/>
      <c r="H627" s="1"/>
      <c r="I627" s="1"/>
      <c r="J627" s="1"/>
      <c r="K627" s="1"/>
      <c r="L627" s="1"/>
      <c r="M627" s="1"/>
      <c r="N627" s="1"/>
      <c r="O627" s="1"/>
      <c r="P627" s="1"/>
      <c r="Q627" s="1"/>
      <c r="R627" s="1"/>
      <c r="S627" s="1"/>
      <c r="T627" s="1"/>
      <c r="U627" s="1"/>
    </row>
    <row r="628" ht="15.75" customHeight="1">
      <c r="A628" s="1"/>
      <c r="B628" s="1"/>
      <c r="C628" s="1"/>
      <c r="D628" s="2"/>
      <c r="E628" s="1"/>
      <c r="F628" s="1"/>
      <c r="G628" s="1"/>
      <c r="H628" s="1"/>
      <c r="I628" s="1"/>
      <c r="J628" s="1"/>
      <c r="K628" s="1"/>
      <c r="L628" s="1"/>
      <c r="M628" s="1"/>
      <c r="N628" s="1"/>
      <c r="O628" s="1"/>
      <c r="P628" s="1"/>
      <c r="Q628" s="1"/>
      <c r="R628" s="1"/>
      <c r="S628" s="1"/>
      <c r="T628" s="1"/>
      <c r="U628" s="1"/>
    </row>
    <row r="629" ht="15.75" customHeight="1">
      <c r="A629" s="1"/>
      <c r="B629" s="1"/>
      <c r="C629" s="1"/>
      <c r="D629" s="2"/>
      <c r="E629" s="1"/>
      <c r="F629" s="1"/>
      <c r="G629" s="1"/>
      <c r="H629" s="1"/>
      <c r="I629" s="1"/>
      <c r="J629" s="1"/>
      <c r="K629" s="1"/>
      <c r="L629" s="1"/>
      <c r="M629" s="1"/>
      <c r="N629" s="1"/>
      <c r="O629" s="1"/>
      <c r="P629" s="1"/>
      <c r="Q629" s="1"/>
      <c r="R629" s="1"/>
      <c r="S629" s="1"/>
      <c r="T629" s="1"/>
      <c r="U629" s="1"/>
    </row>
    <row r="630" ht="15.75" customHeight="1">
      <c r="A630" s="1"/>
      <c r="B630" s="1"/>
      <c r="C630" s="1"/>
      <c r="D630" s="2"/>
      <c r="E630" s="1"/>
      <c r="F630" s="1"/>
      <c r="G630" s="1"/>
      <c r="H630" s="1"/>
      <c r="I630" s="1"/>
      <c r="J630" s="1"/>
      <c r="K630" s="1"/>
      <c r="L630" s="1"/>
      <c r="M630" s="1"/>
      <c r="N630" s="1"/>
      <c r="O630" s="1"/>
      <c r="P630" s="1"/>
      <c r="Q630" s="1"/>
      <c r="R630" s="1"/>
      <c r="S630" s="1"/>
      <c r="T630" s="1"/>
      <c r="U630" s="1"/>
    </row>
    <row r="631" ht="15.75" customHeight="1">
      <c r="A631" s="1"/>
      <c r="B631" s="1"/>
      <c r="C631" s="1"/>
      <c r="D631" s="2"/>
      <c r="E631" s="1"/>
      <c r="F631" s="1"/>
      <c r="G631" s="1"/>
      <c r="H631" s="1"/>
      <c r="I631" s="1"/>
      <c r="J631" s="1"/>
      <c r="K631" s="1"/>
      <c r="L631" s="1"/>
      <c r="M631" s="1"/>
      <c r="N631" s="1"/>
      <c r="O631" s="1"/>
      <c r="P631" s="1"/>
      <c r="Q631" s="1"/>
      <c r="R631" s="1"/>
      <c r="S631" s="1"/>
      <c r="T631" s="1"/>
      <c r="U631" s="1"/>
    </row>
    <row r="632" ht="15.75" customHeight="1">
      <c r="A632" s="1"/>
      <c r="B632" s="1"/>
      <c r="C632" s="1"/>
      <c r="D632" s="2"/>
      <c r="E632" s="1"/>
      <c r="F632" s="1"/>
      <c r="G632" s="1"/>
      <c r="H632" s="1"/>
      <c r="I632" s="1"/>
      <c r="J632" s="1"/>
      <c r="K632" s="1"/>
      <c r="L632" s="1"/>
      <c r="M632" s="1"/>
      <c r="N632" s="1"/>
      <c r="O632" s="1"/>
      <c r="P632" s="1"/>
      <c r="Q632" s="1"/>
      <c r="R632" s="1"/>
      <c r="S632" s="1"/>
      <c r="T632" s="1"/>
      <c r="U632" s="1"/>
    </row>
    <row r="633" ht="15.75" customHeight="1">
      <c r="A633" s="1"/>
      <c r="B633" s="1"/>
      <c r="C633" s="1"/>
      <c r="D633" s="2"/>
      <c r="E633" s="1"/>
      <c r="F633" s="1"/>
      <c r="G633" s="1"/>
      <c r="H633" s="1"/>
      <c r="I633" s="1"/>
      <c r="J633" s="1"/>
      <c r="K633" s="1"/>
      <c r="L633" s="1"/>
      <c r="M633" s="1"/>
      <c r="N633" s="1"/>
      <c r="O633" s="1"/>
      <c r="P633" s="1"/>
      <c r="Q633" s="1"/>
      <c r="R633" s="1"/>
      <c r="S633" s="1"/>
      <c r="T633" s="1"/>
      <c r="U633" s="1"/>
    </row>
    <row r="634" ht="15.75" customHeight="1">
      <c r="A634" s="1"/>
      <c r="B634" s="1"/>
      <c r="C634" s="1"/>
      <c r="D634" s="2"/>
      <c r="E634" s="1"/>
      <c r="F634" s="1"/>
      <c r="G634" s="1"/>
      <c r="H634" s="1"/>
      <c r="I634" s="1"/>
      <c r="J634" s="1"/>
      <c r="K634" s="1"/>
      <c r="L634" s="1"/>
      <c r="M634" s="1"/>
      <c r="N634" s="1"/>
      <c r="O634" s="1"/>
      <c r="P634" s="1"/>
      <c r="Q634" s="1"/>
      <c r="R634" s="1"/>
      <c r="S634" s="1"/>
      <c r="T634" s="1"/>
      <c r="U634" s="1"/>
    </row>
    <row r="635" ht="15.75" customHeight="1">
      <c r="A635" s="1"/>
      <c r="B635" s="1"/>
      <c r="C635" s="1"/>
      <c r="D635" s="2"/>
      <c r="E635" s="1"/>
      <c r="F635" s="1"/>
      <c r="G635" s="1"/>
      <c r="H635" s="1"/>
      <c r="I635" s="1"/>
      <c r="J635" s="1"/>
      <c r="K635" s="1"/>
      <c r="L635" s="1"/>
      <c r="M635" s="1"/>
      <c r="N635" s="1"/>
      <c r="O635" s="1"/>
      <c r="P635" s="1"/>
      <c r="Q635" s="1"/>
      <c r="R635" s="1"/>
      <c r="S635" s="1"/>
      <c r="T635" s="1"/>
      <c r="U635" s="1"/>
    </row>
    <row r="636" ht="15.75" customHeight="1">
      <c r="A636" s="1"/>
      <c r="B636" s="1"/>
      <c r="C636" s="1"/>
      <c r="D636" s="2"/>
      <c r="E636" s="1"/>
      <c r="F636" s="1"/>
      <c r="G636" s="1"/>
      <c r="H636" s="1"/>
      <c r="I636" s="1"/>
      <c r="J636" s="1"/>
      <c r="K636" s="1"/>
      <c r="L636" s="1"/>
      <c r="M636" s="1"/>
      <c r="N636" s="1"/>
      <c r="O636" s="1"/>
      <c r="P636" s="1"/>
      <c r="Q636" s="1"/>
      <c r="R636" s="1"/>
      <c r="S636" s="1"/>
      <c r="T636" s="1"/>
      <c r="U636" s="1"/>
    </row>
    <row r="637" ht="15.75" customHeight="1">
      <c r="A637" s="1"/>
      <c r="B637" s="1"/>
      <c r="C637" s="1"/>
      <c r="D637" s="2"/>
      <c r="E637" s="1"/>
      <c r="F637" s="1"/>
      <c r="G637" s="1"/>
      <c r="H637" s="1"/>
      <c r="I637" s="1"/>
      <c r="J637" s="1"/>
      <c r="K637" s="1"/>
      <c r="L637" s="1"/>
      <c r="M637" s="1"/>
      <c r="N637" s="1"/>
      <c r="O637" s="1"/>
      <c r="P637" s="1"/>
      <c r="Q637" s="1"/>
      <c r="R637" s="1"/>
      <c r="S637" s="1"/>
      <c r="T637" s="1"/>
      <c r="U637" s="1"/>
    </row>
    <row r="638" ht="15.75" customHeight="1">
      <c r="A638" s="1"/>
      <c r="B638" s="1"/>
      <c r="C638" s="1"/>
      <c r="D638" s="2"/>
      <c r="E638" s="1"/>
      <c r="F638" s="1"/>
      <c r="G638" s="1"/>
      <c r="H638" s="1"/>
      <c r="I638" s="1"/>
      <c r="J638" s="1"/>
      <c r="K638" s="1"/>
      <c r="L638" s="1"/>
      <c r="M638" s="1"/>
      <c r="N638" s="1"/>
      <c r="O638" s="1"/>
      <c r="P638" s="1"/>
      <c r="Q638" s="1"/>
      <c r="R638" s="1"/>
      <c r="S638" s="1"/>
      <c r="T638" s="1"/>
      <c r="U638" s="1"/>
    </row>
    <row r="639" ht="15.75" customHeight="1">
      <c r="A639" s="1"/>
      <c r="B639" s="1"/>
      <c r="C639" s="1"/>
      <c r="D639" s="2"/>
      <c r="E639" s="1"/>
      <c r="F639" s="1"/>
      <c r="G639" s="1"/>
      <c r="H639" s="1"/>
      <c r="I639" s="1"/>
      <c r="J639" s="1"/>
      <c r="K639" s="1"/>
      <c r="L639" s="1"/>
      <c r="M639" s="1"/>
      <c r="N639" s="1"/>
      <c r="O639" s="1"/>
      <c r="P639" s="1"/>
      <c r="Q639" s="1"/>
      <c r="R639" s="1"/>
      <c r="S639" s="1"/>
      <c r="T639" s="1"/>
      <c r="U639" s="1"/>
    </row>
    <row r="640" ht="15.75" customHeight="1">
      <c r="A640" s="1"/>
      <c r="B640" s="1"/>
      <c r="C640" s="1"/>
      <c r="D640" s="2"/>
      <c r="E640" s="1"/>
      <c r="F640" s="1"/>
      <c r="G640" s="1"/>
      <c r="H640" s="1"/>
      <c r="I640" s="1"/>
      <c r="J640" s="1"/>
      <c r="K640" s="1"/>
      <c r="L640" s="1"/>
      <c r="M640" s="1"/>
      <c r="N640" s="1"/>
      <c r="O640" s="1"/>
      <c r="P640" s="1"/>
      <c r="Q640" s="1"/>
      <c r="R640" s="1"/>
      <c r="S640" s="1"/>
      <c r="T640" s="1"/>
      <c r="U640" s="1"/>
    </row>
    <row r="641" ht="15.75" customHeight="1">
      <c r="A641" s="1"/>
      <c r="B641" s="1"/>
      <c r="C641" s="1"/>
      <c r="D641" s="2"/>
      <c r="E641" s="1"/>
      <c r="F641" s="1"/>
      <c r="G641" s="1"/>
      <c r="H641" s="1"/>
      <c r="I641" s="1"/>
      <c r="J641" s="1"/>
      <c r="K641" s="1"/>
      <c r="L641" s="1"/>
      <c r="M641" s="1"/>
      <c r="N641" s="1"/>
      <c r="O641" s="1"/>
      <c r="P641" s="1"/>
      <c r="Q641" s="1"/>
      <c r="R641" s="1"/>
      <c r="S641" s="1"/>
      <c r="T641" s="1"/>
      <c r="U641" s="1"/>
    </row>
    <row r="642" ht="15.75" customHeight="1">
      <c r="A642" s="1"/>
      <c r="B642" s="1"/>
      <c r="C642" s="1"/>
      <c r="D642" s="2"/>
      <c r="E642" s="1"/>
      <c r="F642" s="1"/>
      <c r="G642" s="1"/>
      <c r="H642" s="1"/>
      <c r="I642" s="1"/>
      <c r="J642" s="1"/>
      <c r="K642" s="1"/>
      <c r="L642" s="1"/>
      <c r="M642" s="1"/>
      <c r="N642" s="1"/>
      <c r="O642" s="1"/>
      <c r="P642" s="1"/>
      <c r="Q642" s="1"/>
      <c r="R642" s="1"/>
      <c r="S642" s="1"/>
      <c r="T642" s="1"/>
      <c r="U642" s="1"/>
    </row>
    <row r="643" ht="15.75" customHeight="1">
      <c r="A643" s="1"/>
      <c r="B643" s="1"/>
      <c r="C643" s="1"/>
      <c r="D643" s="2"/>
      <c r="E643" s="1"/>
      <c r="F643" s="1"/>
      <c r="G643" s="1"/>
      <c r="H643" s="1"/>
      <c r="I643" s="1"/>
      <c r="J643" s="1"/>
      <c r="K643" s="1"/>
      <c r="L643" s="1"/>
      <c r="M643" s="1"/>
      <c r="N643" s="1"/>
      <c r="O643" s="1"/>
      <c r="P643" s="1"/>
      <c r="Q643" s="1"/>
      <c r="R643" s="1"/>
      <c r="S643" s="1"/>
      <c r="T643" s="1"/>
      <c r="U643" s="1"/>
    </row>
    <row r="644" ht="15.75" customHeight="1">
      <c r="A644" s="1"/>
      <c r="B644" s="1"/>
      <c r="C644" s="1"/>
      <c r="D644" s="2"/>
      <c r="E644" s="1"/>
      <c r="F644" s="1"/>
      <c r="G644" s="1"/>
      <c r="H644" s="1"/>
      <c r="I644" s="1"/>
      <c r="J644" s="1"/>
      <c r="K644" s="1"/>
      <c r="L644" s="1"/>
      <c r="M644" s="1"/>
      <c r="N644" s="1"/>
      <c r="O644" s="1"/>
      <c r="P644" s="1"/>
      <c r="Q644" s="1"/>
      <c r="R644" s="1"/>
      <c r="S644" s="1"/>
      <c r="T644" s="1"/>
      <c r="U644" s="1"/>
    </row>
    <row r="645" ht="15.75" customHeight="1">
      <c r="A645" s="1"/>
      <c r="B645" s="1"/>
      <c r="C645" s="1"/>
      <c r="D645" s="2"/>
      <c r="E645" s="1"/>
      <c r="F645" s="1"/>
      <c r="G645" s="1"/>
      <c r="H645" s="1"/>
      <c r="I645" s="1"/>
      <c r="J645" s="1"/>
      <c r="K645" s="1"/>
      <c r="L645" s="1"/>
      <c r="M645" s="1"/>
      <c r="N645" s="1"/>
      <c r="O645" s="1"/>
      <c r="P645" s="1"/>
      <c r="Q645" s="1"/>
      <c r="R645" s="1"/>
      <c r="S645" s="1"/>
      <c r="T645" s="1"/>
      <c r="U645" s="1"/>
    </row>
    <row r="646" ht="15.75" customHeight="1">
      <c r="A646" s="1"/>
      <c r="B646" s="1"/>
      <c r="C646" s="1"/>
      <c r="D646" s="2"/>
      <c r="E646" s="1"/>
      <c r="F646" s="1"/>
      <c r="G646" s="1"/>
      <c r="H646" s="1"/>
      <c r="I646" s="1"/>
      <c r="J646" s="1"/>
      <c r="K646" s="1"/>
      <c r="L646" s="1"/>
      <c r="M646" s="1"/>
      <c r="N646" s="1"/>
      <c r="O646" s="1"/>
      <c r="P646" s="1"/>
      <c r="Q646" s="1"/>
      <c r="R646" s="1"/>
      <c r="S646" s="1"/>
      <c r="T646" s="1"/>
      <c r="U646" s="1"/>
    </row>
    <row r="647" ht="15.75" customHeight="1">
      <c r="A647" s="1"/>
      <c r="B647" s="1"/>
      <c r="C647" s="1"/>
      <c r="D647" s="2"/>
      <c r="E647" s="1"/>
      <c r="F647" s="1"/>
      <c r="G647" s="1"/>
      <c r="H647" s="1"/>
      <c r="I647" s="1"/>
      <c r="J647" s="1"/>
      <c r="K647" s="1"/>
      <c r="L647" s="1"/>
      <c r="M647" s="1"/>
      <c r="N647" s="1"/>
      <c r="O647" s="1"/>
      <c r="P647" s="1"/>
      <c r="Q647" s="1"/>
      <c r="R647" s="1"/>
      <c r="S647" s="1"/>
      <c r="T647" s="1"/>
      <c r="U647" s="1"/>
    </row>
    <row r="648" ht="15.75" customHeight="1">
      <c r="A648" s="1"/>
      <c r="B648" s="1"/>
      <c r="C648" s="1"/>
      <c r="D648" s="2"/>
      <c r="E648" s="1"/>
      <c r="F648" s="1"/>
      <c r="G648" s="1"/>
      <c r="H648" s="1"/>
      <c r="I648" s="1"/>
      <c r="J648" s="1"/>
      <c r="K648" s="1"/>
      <c r="L648" s="1"/>
      <c r="M648" s="1"/>
      <c r="N648" s="1"/>
      <c r="O648" s="1"/>
      <c r="P648" s="1"/>
      <c r="Q648" s="1"/>
      <c r="R648" s="1"/>
      <c r="S648" s="1"/>
      <c r="T648" s="1"/>
      <c r="U648" s="1"/>
    </row>
    <row r="649" ht="15.75" customHeight="1">
      <c r="A649" s="1"/>
      <c r="B649" s="1"/>
      <c r="C649" s="1"/>
      <c r="D649" s="2"/>
      <c r="E649" s="1"/>
      <c r="F649" s="1"/>
      <c r="G649" s="1"/>
      <c r="H649" s="1"/>
      <c r="I649" s="1"/>
      <c r="J649" s="1"/>
      <c r="K649" s="1"/>
      <c r="L649" s="1"/>
      <c r="M649" s="1"/>
      <c r="N649" s="1"/>
      <c r="O649" s="1"/>
      <c r="P649" s="1"/>
      <c r="Q649" s="1"/>
      <c r="R649" s="1"/>
      <c r="S649" s="1"/>
      <c r="T649" s="1"/>
      <c r="U649" s="1"/>
    </row>
    <row r="650" ht="15.75" customHeight="1">
      <c r="A650" s="1"/>
      <c r="B650" s="1"/>
      <c r="C650" s="1"/>
      <c r="D650" s="2"/>
      <c r="E650" s="1"/>
      <c r="F650" s="1"/>
      <c r="G650" s="1"/>
      <c r="H650" s="1"/>
      <c r="I650" s="1"/>
      <c r="J650" s="1"/>
      <c r="K650" s="1"/>
      <c r="L650" s="1"/>
      <c r="M650" s="1"/>
      <c r="N650" s="1"/>
      <c r="O650" s="1"/>
      <c r="P650" s="1"/>
      <c r="Q650" s="1"/>
      <c r="R650" s="1"/>
      <c r="S650" s="1"/>
      <c r="T650" s="1"/>
      <c r="U650" s="1"/>
    </row>
    <row r="651" ht="15.75" customHeight="1">
      <c r="A651" s="1"/>
      <c r="B651" s="1"/>
      <c r="C651" s="1"/>
      <c r="D651" s="2"/>
      <c r="E651" s="1"/>
      <c r="F651" s="1"/>
      <c r="G651" s="1"/>
      <c r="H651" s="1"/>
      <c r="I651" s="1"/>
      <c r="J651" s="1"/>
      <c r="K651" s="1"/>
      <c r="L651" s="1"/>
      <c r="M651" s="1"/>
      <c r="N651" s="1"/>
      <c r="O651" s="1"/>
      <c r="P651" s="1"/>
      <c r="Q651" s="1"/>
      <c r="R651" s="1"/>
      <c r="S651" s="1"/>
      <c r="T651" s="1"/>
      <c r="U651" s="1"/>
    </row>
    <row r="652" ht="15.75" customHeight="1">
      <c r="A652" s="1"/>
      <c r="B652" s="1"/>
      <c r="C652" s="1"/>
      <c r="D652" s="2"/>
      <c r="E652" s="1"/>
      <c r="F652" s="1"/>
      <c r="G652" s="1"/>
      <c r="H652" s="1"/>
      <c r="I652" s="1"/>
      <c r="J652" s="1"/>
      <c r="K652" s="1"/>
      <c r="L652" s="1"/>
      <c r="M652" s="1"/>
      <c r="N652" s="1"/>
      <c r="O652" s="1"/>
      <c r="P652" s="1"/>
      <c r="Q652" s="1"/>
      <c r="R652" s="1"/>
      <c r="S652" s="1"/>
      <c r="T652" s="1"/>
      <c r="U652" s="1"/>
    </row>
    <row r="653" ht="15.75" customHeight="1">
      <c r="A653" s="1"/>
      <c r="B653" s="1"/>
      <c r="C653" s="1"/>
      <c r="D653" s="2"/>
      <c r="E653" s="1"/>
      <c r="F653" s="1"/>
      <c r="G653" s="1"/>
      <c r="H653" s="1"/>
      <c r="I653" s="1"/>
      <c r="J653" s="1"/>
      <c r="K653" s="1"/>
      <c r="L653" s="1"/>
      <c r="M653" s="1"/>
      <c r="N653" s="1"/>
      <c r="O653" s="1"/>
      <c r="P653" s="1"/>
      <c r="Q653" s="1"/>
      <c r="R653" s="1"/>
      <c r="S653" s="1"/>
      <c r="T653" s="1"/>
      <c r="U653" s="1"/>
    </row>
    <row r="654" ht="15.75" customHeight="1">
      <c r="A654" s="1"/>
      <c r="B654" s="1"/>
      <c r="C654" s="1"/>
      <c r="D654" s="2"/>
      <c r="E654" s="1"/>
      <c r="F654" s="1"/>
      <c r="G654" s="1"/>
      <c r="H654" s="1"/>
      <c r="I654" s="1"/>
      <c r="J654" s="1"/>
      <c r="K654" s="1"/>
      <c r="L654" s="1"/>
      <c r="M654" s="1"/>
      <c r="N654" s="1"/>
      <c r="O654" s="1"/>
      <c r="P654" s="1"/>
      <c r="Q654" s="1"/>
      <c r="R654" s="1"/>
      <c r="S654" s="1"/>
      <c r="T654" s="1"/>
      <c r="U654" s="1"/>
    </row>
    <row r="655" ht="15.75" customHeight="1">
      <c r="A655" s="1"/>
      <c r="B655" s="1"/>
      <c r="C655" s="1"/>
      <c r="D655" s="2"/>
      <c r="E655" s="1"/>
      <c r="F655" s="1"/>
      <c r="G655" s="1"/>
      <c r="H655" s="1"/>
      <c r="I655" s="1"/>
      <c r="J655" s="1"/>
      <c r="K655" s="1"/>
      <c r="L655" s="1"/>
      <c r="M655" s="1"/>
      <c r="N655" s="1"/>
      <c r="O655" s="1"/>
      <c r="P655" s="1"/>
      <c r="Q655" s="1"/>
      <c r="R655" s="1"/>
      <c r="S655" s="1"/>
      <c r="T655" s="1"/>
      <c r="U655" s="1"/>
    </row>
    <row r="656" ht="15.75" customHeight="1">
      <c r="A656" s="1"/>
      <c r="B656" s="1"/>
      <c r="C656" s="1"/>
      <c r="D656" s="2"/>
      <c r="E656" s="1"/>
      <c r="F656" s="1"/>
      <c r="G656" s="1"/>
      <c r="H656" s="1"/>
      <c r="I656" s="1"/>
      <c r="J656" s="1"/>
      <c r="K656" s="1"/>
      <c r="L656" s="1"/>
      <c r="M656" s="1"/>
      <c r="N656" s="1"/>
      <c r="O656" s="1"/>
      <c r="P656" s="1"/>
      <c r="Q656" s="1"/>
      <c r="R656" s="1"/>
      <c r="S656" s="1"/>
      <c r="T656" s="1"/>
      <c r="U656" s="1"/>
    </row>
    <row r="657" ht="15.75" customHeight="1">
      <c r="A657" s="1"/>
      <c r="B657" s="1"/>
      <c r="C657" s="1"/>
      <c r="D657" s="2"/>
      <c r="E657" s="1"/>
      <c r="F657" s="1"/>
      <c r="G657" s="1"/>
      <c r="H657" s="1"/>
      <c r="I657" s="1"/>
      <c r="J657" s="1"/>
      <c r="K657" s="1"/>
      <c r="L657" s="1"/>
      <c r="M657" s="1"/>
      <c r="N657" s="1"/>
      <c r="O657" s="1"/>
      <c r="P657" s="1"/>
      <c r="Q657" s="1"/>
      <c r="R657" s="1"/>
      <c r="S657" s="1"/>
      <c r="T657" s="1"/>
      <c r="U657" s="1"/>
    </row>
    <row r="658" ht="15.75" customHeight="1">
      <c r="A658" s="1"/>
      <c r="B658" s="1"/>
      <c r="C658" s="1"/>
      <c r="D658" s="2"/>
      <c r="E658" s="1"/>
      <c r="F658" s="1"/>
      <c r="G658" s="1"/>
      <c r="H658" s="1"/>
      <c r="I658" s="1"/>
      <c r="J658" s="1"/>
      <c r="K658" s="1"/>
      <c r="L658" s="1"/>
      <c r="M658" s="1"/>
      <c r="N658" s="1"/>
      <c r="O658" s="1"/>
      <c r="P658" s="1"/>
      <c r="Q658" s="1"/>
      <c r="R658" s="1"/>
      <c r="S658" s="1"/>
      <c r="T658" s="1"/>
      <c r="U658" s="1"/>
    </row>
    <row r="659" ht="15.75" customHeight="1">
      <c r="A659" s="1"/>
      <c r="B659" s="1"/>
      <c r="C659" s="1"/>
      <c r="D659" s="2"/>
      <c r="E659" s="1"/>
      <c r="F659" s="1"/>
      <c r="G659" s="1"/>
      <c r="H659" s="1"/>
      <c r="I659" s="1"/>
      <c r="J659" s="1"/>
      <c r="K659" s="1"/>
      <c r="L659" s="1"/>
      <c r="M659" s="1"/>
      <c r="N659" s="1"/>
      <c r="O659" s="1"/>
      <c r="P659" s="1"/>
      <c r="Q659" s="1"/>
      <c r="R659" s="1"/>
      <c r="S659" s="1"/>
      <c r="T659" s="1"/>
      <c r="U659" s="1"/>
    </row>
    <row r="660" ht="15.75" customHeight="1">
      <c r="A660" s="1"/>
      <c r="B660" s="1"/>
      <c r="C660" s="1"/>
      <c r="D660" s="2"/>
      <c r="E660" s="1"/>
      <c r="F660" s="1"/>
      <c r="G660" s="1"/>
      <c r="H660" s="1"/>
      <c r="I660" s="1"/>
      <c r="J660" s="1"/>
      <c r="K660" s="1"/>
      <c r="L660" s="1"/>
      <c r="M660" s="1"/>
      <c r="N660" s="1"/>
      <c r="O660" s="1"/>
      <c r="P660" s="1"/>
      <c r="Q660" s="1"/>
      <c r="R660" s="1"/>
      <c r="S660" s="1"/>
      <c r="T660" s="1"/>
      <c r="U660" s="1"/>
    </row>
    <row r="661" ht="15.75" customHeight="1">
      <c r="A661" s="1"/>
      <c r="B661" s="1"/>
      <c r="C661" s="1"/>
      <c r="D661" s="2"/>
      <c r="E661" s="1"/>
      <c r="F661" s="1"/>
      <c r="G661" s="1"/>
      <c r="H661" s="1"/>
      <c r="I661" s="1"/>
      <c r="J661" s="1"/>
      <c r="K661" s="1"/>
      <c r="L661" s="1"/>
      <c r="M661" s="1"/>
      <c r="N661" s="1"/>
      <c r="O661" s="1"/>
      <c r="P661" s="1"/>
      <c r="Q661" s="1"/>
      <c r="R661" s="1"/>
      <c r="S661" s="1"/>
      <c r="T661" s="1"/>
      <c r="U661" s="1"/>
    </row>
    <row r="662" ht="15.75" customHeight="1">
      <c r="A662" s="1"/>
      <c r="B662" s="1"/>
      <c r="C662" s="1"/>
      <c r="D662" s="2"/>
      <c r="E662" s="1"/>
      <c r="F662" s="1"/>
      <c r="G662" s="1"/>
      <c r="H662" s="1"/>
      <c r="I662" s="1"/>
      <c r="J662" s="1"/>
      <c r="K662" s="1"/>
      <c r="L662" s="1"/>
      <c r="M662" s="1"/>
      <c r="N662" s="1"/>
      <c r="O662" s="1"/>
      <c r="P662" s="1"/>
      <c r="Q662" s="1"/>
      <c r="R662" s="1"/>
      <c r="S662" s="1"/>
      <c r="T662" s="1"/>
      <c r="U662" s="1"/>
    </row>
    <row r="663" ht="15.75" customHeight="1">
      <c r="A663" s="1"/>
      <c r="B663" s="1"/>
      <c r="C663" s="1"/>
      <c r="D663" s="2"/>
      <c r="E663" s="1"/>
      <c r="F663" s="1"/>
      <c r="G663" s="1"/>
      <c r="H663" s="1"/>
      <c r="I663" s="1"/>
      <c r="J663" s="1"/>
      <c r="K663" s="1"/>
      <c r="L663" s="1"/>
      <c r="M663" s="1"/>
      <c r="N663" s="1"/>
      <c r="O663" s="1"/>
      <c r="P663" s="1"/>
      <c r="Q663" s="1"/>
      <c r="R663" s="1"/>
      <c r="S663" s="1"/>
      <c r="T663" s="1"/>
      <c r="U663" s="1"/>
    </row>
    <row r="664" ht="15.75" customHeight="1">
      <c r="A664" s="1"/>
      <c r="B664" s="1"/>
      <c r="C664" s="1"/>
      <c r="D664" s="2"/>
      <c r="E664" s="1"/>
      <c r="F664" s="1"/>
      <c r="G664" s="1"/>
      <c r="H664" s="1"/>
      <c r="I664" s="1"/>
      <c r="J664" s="1"/>
      <c r="K664" s="1"/>
      <c r="L664" s="1"/>
      <c r="M664" s="1"/>
      <c r="N664" s="1"/>
      <c r="O664" s="1"/>
      <c r="P664" s="1"/>
      <c r="Q664" s="1"/>
      <c r="R664" s="1"/>
      <c r="S664" s="1"/>
      <c r="T664" s="1"/>
      <c r="U664" s="1"/>
    </row>
    <row r="665" ht="15.75" customHeight="1">
      <c r="A665" s="1"/>
      <c r="B665" s="1"/>
      <c r="C665" s="1"/>
      <c r="D665" s="2"/>
      <c r="E665" s="1"/>
      <c r="F665" s="1"/>
      <c r="G665" s="1"/>
      <c r="H665" s="1"/>
      <c r="I665" s="1"/>
      <c r="J665" s="1"/>
      <c r="K665" s="1"/>
      <c r="L665" s="1"/>
      <c r="M665" s="1"/>
      <c r="N665" s="1"/>
      <c r="O665" s="1"/>
      <c r="P665" s="1"/>
      <c r="Q665" s="1"/>
      <c r="R665" s="1"/>
      <c r="S665" s="1"/>
      <c r="T665" s="1"/>
      <c r="U665" s="1"/>
    </row>
    <row r="666" ht="15.75" customHeight="1">
      <c r="A666" s="1"/>
      <c r="B666" s="1"/>
      <c r="C666" s="1"/>
      <c r="D666" s="2"/>
      <c r="E666" s="1"/>
      <c r="F666" s="1"/>
      <c r="G666" s="1"/>
      <c r="H666" s="1"/>
      <c r="I666" s="1"/>
      <c r="J666" s="1"/>
      <c r="K666" s="1"/>
      <c r="L666" s="1"/>
      <c r="M666" s="1"/>
      <c r="N666" s="1"/>
      <c r="O666" s="1"/>
      <c r="P666" s="1"/>
      <c r="Q666" s="1"/>
      <c r="R666" s="1"/>
      <c r="S666" s="1"/>
      <c r="T666" s="1"/>
      <c r="U666" s="1"/>
    </row>
    <row r="667" ht="15.75" customHeight="1">
      <c r="A667" s="1"/>
      <c r="B667" s="1"/>
      <c r="C667" s="1"/>
      <c r="D667" s="2"/>
      <c r="E667" s="1"/>
      <c r="F667" s="1"/>
      <c r="G667" s="1"/>
      <c r="H667" s="1"/>
      <c r="I667" s="1"/>
      <c r="J667" s="1"/>
      <c r="K667" s="1"/>
      <c r="L667" s="1"/>
      <c r="M667" s="1"/>
      <c r="N667" s="1"/>
      <c r="O667" s="1"/>
      <c r="P667" s="1"/>
      <c r="Q667" s="1"/>
      <c r="R667" s="1"/>
      <c r="S667" s="1"/>
      <c r="T667" s="1"/>
      <c r="U667" s="1"/>
    </row>
    <row r="668" ht="15.75" customHeight="1">
      <c r="A668" s="1"/>
      <c r="B668" s="1"/>
      <c r="C668" s="1"/>
      <c r="D668" s="2"/>
      <c r="E668" s="1"/>
      <c r="F668" s="1"/>
      <c r="G668" s="1"/>
      <c r="H668" s="1"/>
      <c r="I668" s="1"/>
      <c r="J668" s="1"/>
      <c r="K668" s="1"/>
      <c r="L668" s="1"/>
      <c r="M668" s="1"/>
      <c r="N668" s="1"/>
      <c r="O668" s="1"/>
      <c r="P668" s="1"/>
      <c r="Q668" s="1"/>
      <c r="R668" s="1"/>
      <c r="S668" s="1"/>
      <c r="T668" s="1"/>
      <c r="U668" s="1"/>
    </row>
    <row r="669" ht="15.75" customHeight="1">
      <c r="A669" s="1"/>
      <c r="B669" s="1"/>
      <c r="C669" s="1"/>
      <c r="D669" s="2"/>
      <c r="E669" s="1"/>
      <c r="F669" s="1"/>
      <c r="G669" s="1"/>
      <c r="H669" s="1"/>
      <c r="I669" s="1"/>
      <c r="J669" s="1"/>
      <c r="K669" s="1"/>
      <c r="L669" s="1"/>
      <c r="M669" s="1"/>
      <c r="N669" s="1"/>
      <c r="O669" s="1"/>
      <c r="P669" s="1"/>
      <c r="Q669" s="1"/>
      <c r="R669" s="1"/>
      <c r="S669" s="1"/>
      <c r="T669" s="1"/>
      <c r="U669" s="1"/>
    </row>
    <row r="670" ht="15.75" customHeight="1">
      <c r="A670" s="1"/>
      <c r="B670" s="1"/>
      <c r="C670" s="1"/>
      <c r="D670" s="2"/>
      <c r="E670" s="1"/>
      <c r="F670" s="1"/>
      <c r="G670" s="1"/>
      <c r="H670" s="1"/>
      <c r="I670" s="1"/>
      <c r="J670" s="1"/>
      <c r="K670" s="1"/>
      <c r="L670" s="1"/>
      <c r="M670" s="1"/>
      <c r="N670" s="1"/>
      <c r="O670" s="1"/>
      <c r="P670" s="1"/>
      <c r="Q670" s="1"/>
      <c r="R670" s="1"/>
      <c r="S670" s="1"/>
      <c r="T670" s="1"/>
      <c r="U670" s="1"/>
    </row>
    <row r="671" ht="15.75" customHeight="1">
      <c r="A671" s="1"/>
      <c r="B671" s="1"/>
      <c r="C671" s="1"/>
      <c r="D671" s="2"/>
      <c r="E671" s="1"/>
      <c r="F671" s="1"/>
      <c r="G671" s="1"/>
      <c r="H671" s="1"/>
      <c r="I671" s="1"/>
      <c r="J671" s="1"/>
      <c r="K671" s="1"/>
      <c r="L671" s="1"/>
      <c r="M671" s="1"/>
      <c r="N671" s="1"/>
      <c r="O671" s="1"/>
      <c r="P671" s="1"/>
      <c r="Q671" s="1"/>
      <c r="R671" s="1"/>
      <c r="S671" s="1"/>
      <c r="T671" s="1"/>
      <c r="U671" s="1"/>
    </row>
    <row r="672" ht="15.75" customHeight="1">
      <c r="A672" s="1"/>
      <c r="B672" s="1"/>
      <c r="C672" s="1"/>
      <c r="D672" s="2"/>
      <c r="E672" s="1"/>
      <c r="F672" s="1"/>
      <c r="G672" s="1"/>
      <c r="H672" s="1"/>
      <c r="I672" s="1"/>
      <c r="J672" s="1"/>
      <c r="K672" s="1"/>
      <c r="L672" s="1"/>
      <c r="M672" s="1"/>
      <c r="N672" s="1"/>
      <c r="O672" s="1"/>
      <c r="P672" s="1"/>
      <c r="Q672" s="1"/>
      <c r="R672" s="1"/>
      <c r="S672" s="1"/>
      <c r="T672" s="1"/>
      <c r="U672" s="1"/>
    </row>
    <row r="673" ht="15.75" customHeight="1">
      <c r="A673" s="1"/>
      <c r="B673" s="1"/>
      <c r="C673" s="1"/>
      <c r="D673" s="2"/>
      <c r="E673" s="1"/>
      <c r="F673" s="1"/>
      <c r="G673" s="1"/>
      <c r="H673" s="1"/>
      <c r="I673" s="1"/>
      <c r="J673" s="1"/>
      <c r="K673" s="1"/>
      <c r="L673" s="1"/>
      <c r="M673" s="1"/>
      <c r="N673" s="1"/>
      <c r="O673" s="1"/>
      <c r="P673" s="1"/>
      <c r="Q673" s="1"/>
      <c r="R673" s="1"/>
      <c r="S673" s="1"/>
      <c r="T673" s="1"/>
      <c r="U673" s="1"/>
    </row>
    <row r="674" ht="15.75" customHeight="1">
      <c r="A674" s="1"/>
      <c r="B674" s="1"/>
      <c r="C674" s="1"/>
      <c r="D674" s="2"/>
      <c r="E674" s="1"/>
      <c r="F674" s="1"/>
      <c r="G674" s="1"/>
      <c r="H674" s="1"/>
      <c r="I674" s="1"/>
      <c r="J674" s="1"/>
      <c r="K674" s="1"/>
      <c r="L674" s="1"/>
      <c r="M674" s="1"/>
      <c r="N674" s="1"/>
      <c r="O674" s="1"/>
      <c r="P674" s="1"/>
      <c r="Q674" s="1"/>
      <c r="R674" s="1"/>
      <c r="S674" s="1"/>
      <c r="T674" s="1"/>
      <c r="U674" s="1"/>
    </row>
    <row r="675" ht="15.75" customHeight="1">
      <c r="A675" s="1"/>
      <c r="B675" s="1"/>
      <c r="C675" s="1"/>
      <c r="D675" s="2"/>
      <c r="E675" s="1"/>
      <c r="F675" s="1"/>
      <c r="G675" s="1"/>
      <c r="H675" s="1"/>
      <c r="I675" s="1"/>
      <c r="J675" s="1"/>
      <c r="K675" s="1"/>
      <c r="L675" s="1"/>
      <c r="M675" s="1"/>
      <c r="N675" s="1"/>
      <c r="O675" s="1"/>
      <c r="P675" s="1"/>
      <c r="Q675" s="1"/>
      <c r="R675" s="1"/>
      <c r="S675" s="1"/>
      <c r="T675" s="1"/>
      <c r="U675" s="1"/>
    </row>
    <row r="676" ht="15.75" customHeight="1">
      <c r="A676" s="1"/>
      <c r="B676" s="1"/>
      <c r="C676" s="1"/>
      <c r="D676" s="2"/>
      <c r="E676" s="1"/>
      <c r="F676" s="1"/>
      <c r="G676" s="1"/>
      <c r="H676" s="1"/>
      <c r="I676" s="1"/>
      <c r="J676" s="1"/>
      <c r="K676" s="1"/>
      <c r="L676" s="1"/>
      <c r="M676" s="1"/>
      <c r="N676" s="1"/>
      <c r="O676" s="1"/>
      <c r="P676" s="1"/>
      <c r="Q676" s="1"/>
      <c r="R676" s="1"/>
      <c r="S676" s="1"/>
      <c r="T676" s="1"/>
      <c r="U676" s="1"/>
    </row>
    <row r="677" ht="15.75" customHeight="1">
      <c r="A677" s="1"/>
      <c r="B677" s="1"/>
      <c r="C677" s="1"/>
      <c r="D677" s="2"/>
      <c r="E677" s="1"/>
      <c r="F677" s="1"/>
      <c r="G677" s="1"/>
      <c r="H677" s="1"/>
      <c r="I677" s="1"/>
      <c r="J677" s="1"/>
      <c r="K677" s="1"/>
      <c r="L677" s="1"/>
      <c r="M677" s="1"/>
      <c r="N677" s="1"/>
      <c r="O677" s="1"/>
      <c r="P677" s="1"/>
      <c r="Q677" s="1"/>
      <c r="R677" s="1"/>
      <c r="S677" s="1"/>
      <c r="T677" s="1"/>
      <c r="U677" s="1"/>
    </row>
    <row r="678" ht="15.75" customHeight="1">
      <c r="A678" s="1"/>
      <c r="B678" s="1"/>
      <c r="C678" s="1"/>
      <c r="D678" s="2"/>
      <c r="E678" s="1"/>
      <c r="F678" s="1"/>
      <c r="G678" s="1"/>
      <c r="H678" s="1"/>
      <c r="I678" s="1"/>
      <c r="J678" s="1"/>
      <c r="K678" s="1"/>
      <c r="L678" s="1"/>
      <c r="M678" s="1"/>
      <c r="N678" s="1"/>
      <c r="O678" s="1"/>
      <c r="P678" s="1"/>
      <c r="Q678" s="1"/>
      <c r="R678" s="1"/>
      <c r="S678" s="1"/>
      <c r="T678" s="1"/>
      <c r="U678" s="1"/>
    </row>
    <row r="679" ht="15.75" customHeight="1">
      <c r="A679" s="1"/>
      <c r="B679" s="1"/>
      <c r="C679" s="1"/>
      <c r="D679" s="2"/>
      <c r="E679" s="1"/>
      <c r="F679" s="1"/>
      <c r="G679" s="1"/>
      <c r="H679" s="1"/>
      <c r="I679" s="1"/>
      <c r="J679" s="1"/>
      <c r="K679" s="1"/>
      <c r="L679" s="1"/>
      <c r="M679" s="1"/>
      <c r="N679" s="1"/>
      <c r="O679" s="1"/>
      <c r="P679" s="1"/>
      <c r="Q679" s="1"/>
      <c r="R679" s="1"/>
      <c r="S679" s="1"/>
      <c r="T679" s="1"/>
      <c r="U679" s="1"/>
    </row>
    <row r="680" ht="15.75" customHeight="1">
      <c r="A680" s="1"/>
      <c r="B680" s="1"/>
      <c r="C680" s="1"/>
      <c r="D680" s="2"/>
      <c r="E680" s="1"/>
      <c r="F680" s="1"/>
      <c r="G680" s="1"/>
      <c r="H680" s="1"/>
      <c r="I680" s="1"/>
      <c r="J680" s="1"/>
      <c r="K680" s="1"/>
      <c r="L680" s="1"/>
      <c r="M680" s="1"/>
      <c r="N680" s="1"/>
      <c r="O680" s="1"/>
      <c r="P680" s="1"/>
      <c r="Q680" s="1"/>
      <c r="R680" s="1"/>
      <c r="S680" s="1"/>
      <c r="T680" s="1"/>
      <c r="U680" s="1"/>
    </row>
    <row r="681" ht="15.75" customHeight="1">
      <c r="A681" s="1"/>
      <c r="B681" s="1"/>
      <c r="C681" s="1"/>
      <c r="D681" s="2"/>
      <c r="E681" s="1"/>
      <c r="F681" s="1"/>
      <c r="G681" s="1"/>
      <c r="H681" s="1"/>
      <c r="I681" s="1"/>
      <c r="J681" s="1"/>
      <c r="K681" s="1"/>
      <c r="L681" s="1"/>
      <c r="M681" s="1"/>
      <c r="N681" s="1"/>
      <c r="O681" s="1"/>
      <c r="P681" s="1"/>
      <c r="Q681" s="1"/>
      <c r="R681" s="1"/>
      <c r="S681" s="1"/>
      <c r="T681" s="1"/>
      <c r="U681" s="1"/>
    </row>
    <row r="682" ht="15.75" customHeight="1">
      <c r="A682" s="1"/>
      <c r="B682" s="1"/>
      <c r="C682" s="1"/>
      <c r="D682" s="2"/>
      <c r="E682" s="1"/>
      <c r="F682" s="1"/>
      <c r="G682" s="1"/>
      <c r="H682" s="1"/>
      <c r="I682" s="1"/>
      <c r="J682" s="1"/>
      <c r="K682" s="1"/>
      <c r="L682" s="1"/>
      <c r="M682" s="1"/>
      <c r="N682" s="1"/>
      <c r="O682" s="1"/>
      <c r="P682" s="1"/>
      <c r="Q682" s="1"/>
      <c r="R682" s="1"/>
      <c r="S682" s="1"/>
      <c r="T682" s="1"/>
      <c r="U682" s="1"/>
    </row>
    <row r="683" ht="15.75" customHeight="1">
      <c r="A683" s="1"/>
      <c r="B683" s="1"/>
      <c r="C683" s="1"/>
      <c r="D683" s="2"/>
      <c r="E683" s="1"/>
      <c r="F683" s="1"/>
      <c r="G683" s="1"/>
      <c r="H683" s="1"/>
      <c r="I683" s="1"/>
      <c r="J683" s="1"/>
      <c r="K683" s="1"/>
      <c r="L683" s="1"/>
      <c r="M683" s="1"/>
      <c r="N683" s="1"/>
      <c r="O683" s="1"/>
      <c r="P683" s="1"/>
      <c r="Q683" s="1"/>
      <c r="R683" s="1"/>
      <c r="S683" s="1"/>
      <c r="T683" s="1"/>
      <c r="U683" s="1"/>
    </row>
    <row r="684" ht="15.75" customHeight="1">
      <c r="A684" s="1"/>
      <c r="B684" s="1"/>
      <c r="C684" s="1"/>
      <c r="D684" s="2"/>
      <c r="E684" s="1"/>
      <c r="F684" s="1"/>
      <c r="G684" s="1"/>
      <c r="H684" s="1"/>
      <c r="I684" s="1"/>
      <c r="J684" s="1"/>
      <c r="K684" s="1"/>
      <c r="L684" s="1"/>
      <c r="M684" s="1"/>
      <c r="N684" s="1"/>
      <c r="O684" s="1"/>
      <c r="P684" s="1"/>
      <c r="Q684" s="1"/>
      <c r="R684" s="1"/>
      <c r="S684" s="1"/>
      <c r="T684" s="1"/>
      <c r="U684" s="1"/>
    </row>
    <row r="685" ht="15.75" customHeight="1">
      <c r="A685" s="1"/>
      <c r="B685" s="1"/>
      <c r="C685" s="1"/>
      <c r="D685" s="2"/>
      <c r="E685" s="1"/>
      <c r="F685" s="1"/>
      <c r="G685" s="1"/>
      <c r="H685" s="1"/>
      <c r="I685" s="1"/>
      <c r="J685" s="1"/>
      <c r="K685" s="1"/>
      <c r="L685" s="1"/>
      <c r="M685" s="1"/>
      <c r="N685" s="1"/>
      <c r="O685" s="1"/>
      <c r="P685" s="1"/>
      <c r="Q685" s="1"/>
      <c r="R685" s="1"/>
      <c r="S685" s="1"/>
      <c r="T685" s="1"/>
      <c r="U685" s="1"/>
    </row>
    <row r="686" ht="15.75" customHeight="1">
      <c r="A686" s="1"/>
      <c r="B686" s="1"/>
      <c r="C686" s="1"/>
      <c r="D686" s="2"/>
      <c r="E686" s="1"/>
      <c r="F686" s="1"/>
      <c r="G686" s="1"/>
      <c r="H686" s="1"/>
      <c r="I686" s="1"/>
      <c r="J686" s="1"/>
      <c r="K686" s="1"/>
      <c r="L686" s="1"/>
      <c r="M686" s="1"/>
      <c r="N686" s="1"/>
      <c r="O686" s="1"/>
      <c r="P686" s="1"/>
      <c r="Q686" s="1"/>
      <c r="R686" s="1"/>
      <c r="S686" s="1"/>
      <c r="T686" s="1"/>
      <c r="U686" s="1"/>
    </row>
    <row r="687" ht="15.75" customHeight="1">
      <c r="A687" s="1"/>
      <c r="B687" s="1"/>
      <c r="C687" s="1"/>
      <c r="D687" s="2"/>
      <c r="E687" s="1"/>
      <c r="F687" s="1"/>
      <c r="G687" s="1"/>
      <c r="H687" s="1"/>
      <c r="I687" s="1"/>
      <c r="J687" s="1"/>
      <c r="K687" s="1"/>
      <c r="L687" s="1"/>
      <c r="M687" s="1"/>
      <c r="N687" s="1"/>
      <c r="O687" s="1"/>
      <c r="P687" s="1"/>
      <c r="Q687" s="1"/>
      <c r="R687" s="1"/>
      <c r="S687" s="1"/>
      <c r="T687" s="1"/>
      <c r="U687" s="1"/>
    </row>
    <row r="688" ht="15.75" customHeight="1">
      <c r="A688" s="1"/>
      <c r="B688" s="1"/>
      <c r="C688" s="1"/>
      <c r="D688" s="2"/>
      <c r="E688" s="1"/>
      <c r="F688" s="1"/>
      <c r="G688" s="1"/>
      <c r="H688" s="1"/>
      <c r="I688" s="1"/>
      <c r="J688" s="1"/>
      <c r="K688" s="1"/>
      <c r="L688" s="1"/>
      <c r="M688" s="1"/>
      <c r="N688" s="1"/>
      <c r="O688" s="1"/>
      <c r="P688" s="1"/>
      <c r="Q688" s="1"/>
      <c r="R688" s="1"/>
      <c r="S688" s="1"/>
      <c r="T688" s="1"/>
      <c r="U688" s="1"/>
    </row>
    <row r="689" ht="15.75" customHeight="1">
      <c r="A689" s="1"/>
      <c r="B689" s="1"/>
      <c r="C689" s="1"/>
      <c r="D689" s="2"/>
      <c r="E689" s="1"/>
      <c r="F689" s="1"/>
      <c r="G689" s="1"/>
      <c r="H689" s="1"/>
      <c r="I689" s="1"/>
      <c r="J689" s="1"/>
      <c r="K689" s="1"/>
      <c r="L689" s="1"/>
      <c r="M689" s="1"/>
      <c r="N689" s="1"/>
      <c r="O689" s="1"/>
      <c r="P689" s="1"/>
      <c r="Q689" s="1"/>
      <c r="R689" s="1"/>
      <c r="S689" s="1"/>
      <c r="T689" s="1"/>
      <c r="U689" s="1"/>
    </row>
    <row r="690" ht="15.75" customHeight="1">
      <c r="A690" s="1"/>
      <c r="B690" s="1"/>
      <c r="C690" s="1"/>
      <c r="D690" s="2"/>
      <c r="E690" s="1"/>
      <c r="F690" s="1"/>
      <c r="G690" s="1"/>
      <c r="H690" s="1"/>
      <c r="I690" s="1"/>
      <c r="J690" s="1"/>
      <c r="K690" s="1"/>
      <c r="L690" s="1"/>
      <c r="M690" s="1"/>
      <c r="N690" s="1"/>
      <c r="O690" s="1"/>
      <c r="P690" s="1"/>
      <c r="Q690" s="1"/>
      <c r="R690" s="1"/>
      <c r="S690" s="1"/>
      <c r="T690" s="1"/>
      <c r="U690" s="1"/>
    </row>
    <row r="691" ht="15.75" customHeight="1">
      <c r="A691" s="1"/>
      <c r="B691" s="1"/>
      <c r="C691" s="1"/>
      <c r="D691" s="2"/>
      <c r="E691" s="1"/>
      <c r="F691" s="1"/>
      <c r="G691" s="1"/>
      <c r="H691" s="1"/>
      <c r="I691" s="1"/>
      <c r="J691" s="1"/>
      <c r="K691" s="1"/>
      <c r="L691" s="1"/>
      <c r="M691" s="1"/>
      <c r="N691" s="1"/>
      <c r="O691" s="1"/>
      <c r="P691" s="1"/>
      <c r="Q691" s="1"/>
      <c r="R691" s="1"/>
      <c r="S691" s="1"/>
      <c r="T691" s="1"/>
      <c r="U691" s="1"/>
    </row>
    <row r="692" ht="15.75" customHeight="1">
      <c r="A692" s="1"/>
      <c r="B692" s="1"/>
      <c r="C692" s="1"/>
      <c r="D692" s="2"/>
      <c r="E692" s="1"/>
      <c r="F692" s="1"/>
      <c r="G692" s="1"/>
      <c r="H692" s="1"/>
      <c r="I692" s="1"/>
      <c r="J692" s="1"/>
      <c r="K692" s="1"/>
      <c r="L692" s="1"/>
      <c r="M692" s="1"/>
      <c r="N692" s="1"/>
      <c r="O692" s="1"/>
      <c r="P692" s="1"/>
      <c r="Q692" s="1"/>
      <c r="R692" s="1"/>
      <c r="S692" s="1"/>
      <c r="T692" s="1"/>
      <c r="U692" s="1"/>
    </row>
    <row r="693" ht="15.75" customHeight="1">
      <c r="A693" s="1"/>
      <c r="B693" s="1"/>
      <c r="C693" s="1"/>
      <c r="D693" s="2"/>
      <c r="E693" s="1"/>
      <c r="F693" s="1"/>
      <c r="G693" s="1"/>
      <c r="H693" s="1"/>
      <c r="I693" s="1"/>
      <c r="J693" s="1"/>
      <c r="K693" s="1"/>
      <c r="L693" s="1"/>
      <c r="M693" s="1"/>
      <c r="N693" s="1"/>
      <c r="O693" s="1"/>
      <c r="P693" s="1"/>
      <c r="Q693" s="1"/>
      <c r="R693" s="1"/>
      <c r="S693" s="1"/>
      <c r="T693" s="1"/>
      <c r="U693" s="1"/>
    </row>
    <row r="694" ht="15.75" customHeight="1">
      <c r="A694" s="1"/>
      <c r="B694" s="1"/>
      <c r="C694" s="1"/>
      <c r="D694" s="2"/>
      <c r="E694" s="1"/>
      <c r="F694" s="1"/>
      <c r="G694" s="1"/>
      <c r="H694" s="1"/>
      <c r="I694" s="1"/>
      <c r="J694" s="1"/>
      <c r="K694" s="1"/>
      <c r="L694" s="1"/>
      <c r="M694" s="1"/>
      <c r="N694" s="1"/>
      <c r="O694" s="1"/>
      <c r="P694" s="1"/>
      <c r="Q694" s="1"/>
      <c r="R694" s="1"/>
      <c r="S694" s="1"/>
      <c r="T694" s="1"/>
      <c r="U694" s="1"/>
    </row>
    <row r="695" ht="15.75" customHeight="1">
      <c r="A695" s="1"/>
      <c r="B695" s="1"/>
      <c r="C695" s="1"/>
      <c r="D695" s="2"/>
      <c r="E695" s="1"/>
      <c r="F695" s="1"/>
      <c r="G695" s="1"/>
      <c r="H695" s="1"/>
      <c r="I695" s="1"/>
      <c r="J695" s="1"/>
      <c r="K695" s="1"/>
      <c r="L695" s="1"/>
      <c r="M695" s="1"/>
      <c r="N695" s="1"/>
      <c r="O695" s="1"/>
      <c r="P695" s="1"/>
      <c r="Q695" s="1"/>
      <c r="R695" s="1"/>
      <c r="S695" s="1"/>
      <c r="T695" s="1"/>
      <c r="U695" s="1"/>
    </row>
    <row r="696" ht="15.75" customHeight="1">
      <c r="A696" s="1"/>
      <c r="B696" s="1"/>
      <c r="C696" s="1"/>
      <c r="D696" s="2"/>
      <c r="E696" s="1"/>
      <c r="F696" s="1"/>
      <c r="G696" s="1"/>
      <c r="H696" s="1"/>
      <c r="I696" s="1"/>
      <c r="J696" s="1"/>
      <c r="K696" s="1"/>
      <c r="L696" s="1"/>
      <c r="M696" s="1"/>
      <c r="N696" s="1"/>
      <c r="O696" s="1"/>
      <c r="P696" s="1"/>
      <c r="Q696" s="1"/>
      <c r="R696" s="1"/>
      <c r="S696" s="1"/>
      <c r="T696" s="1"/>
      <c r="U696" s="1"/>
    </row>
    <row r="697" ht="15.75" customHeight="1">
      <c r="A697" s="1"/>
      <c r="B697" s="1"/>
      <c r="C697" s="1"/>
      <c r="D697" s="2"/>
      <c r="E697" s="1"/>
      <c r="F697" s="1"/>
      <c r="G697" s="1"/>
      <c r="H697" s="1"/>
      <c r="I697" s="1"/>
      <c r="J697" s="1"/>
      <c r="K697" s="1"/>
      <c r="L697" s="1"/>
      <c r="M697" s="1"/>
      <c r="N697" s="1"/>
      <c r="O697" s="1"/>
      <c r="P697" s="1"/>
      <c r="Q697" s="1"/>
      <c r="R697" s="1"/>
      <c r="S697" s="1"/>
      <c r="T697" s="1"/>
      <c r="U697" s="1"/>
    </row>
    <row r="698" ht="15.75" customHeight="1">
      <c r="A698" s="1"/>
      <c r="B698" s="1"/>
      <c r="C698" s="1"/>
      <c r="D698" s="2"/>
      <c r="E698" s="1"/>
      <c r="F698" s="1"/>
      <c r="G698" s="1"/>
      <c r="H698" s="1"/>
      <c r="I698" s="1"/>
      <c r="J698" s="1"/>
      <c r="K698" s="1"/>
      <c r="L698" s="1"/>
      <c r="M698" s="1"/>
      <c r="N698" s="1"/>
      <c r="O698" s="1"/>
      <c r="P698" s="1"/>
      <c r="Q698" s="1"/>
      <c r="R698" s="1"/>
      <c r="S698" s="1"/>
      <c r="T698" s="1"/>
      <c r="U698" s="1"/>
    </row>
    <row r="699" ht="15.75" customHeight="1">
      <c r="A699" s="1"/>
      <c r="B699" s="1"/>
      <c r="C699" s="1"/>
      <c r="D699" s="2"/>
      <c r="E699" s="1"/>
      <c r="F699" s="1"/>
      <c r="G699" s="1"/>
      <c r="H699" s="1"/>
      <c r="I699" s="1"/>
      <c r="J699" s="1"/>
      <c r="K699" s="1"/>
      <c r="L699" s="1"/>
      <c r="M699" s="1"/>
      <c r="N699" s="1"/>
      <c r="O699" s="1"/>
      <c r="P699" s="1"/>
      <c r="Q699" s="1"/>
      <c r="R699" s="1"/>
      <c r="S699" s="1"/>
      <c r="T699" s="1"/>
      <c r="U699" s="1"/>
    </row>
    <row r="700" ht="15.75" customHeight="1">
      <c r="A700" s="1"/>
      <c r="B700" s="1"/>
      <c r="C700" s="1"/>
      <c r="D700" s="2"/>
      <c r="E700" s="1"/>
      <c r="F700" s="1"/>
      <c r="G700" s="1"/>
      <c r="H700" s="1"/>
      <c r="I700" s="1"/>
      <c r="J700" s="1"/>
      <c r="K700" s="1"/>
      <c r="L700" s="1"/>
      <c r="M700" s="1"/>
      <c r="N700" s="1"/>
      <c r="O700" s="1"/>
      <c r="P700" s="1"/>
      <c r="Q700" s="1"/>
      <c r="R700" s="1"/>
      <c r="S700" s="1"/>
      <c r="T700" s="1"/>
      <c r="U700" s="1"/>
    </row>
    <row r="701" ht="15.75" customHeight="1">
      <c r="A701" s="1"/>
      <c r="B701" s="1"/>
      <c r="C701" s="1"/>
      <c r="D701" s="2"/>
      <c r="E701" s="1"/>
      <c r="F701" s="1"/>
      <c r="G701" s="1"/>
      <c r="H701" s="1"/>
      <c r="I701" s="1"/>
      <c r="J701" s="1"/>
      <c r="K701" s="1"/>
      <c r="L701" s="1"/>
      <c r="M701" s="1"/>
      <c r="N701" s="1"/>
      <c r="O701" s="1"/>
      <c r="P701" s="1"/>
      <c r="Q701" s="1"/>
      <c r="R701" s="1"/>
      <c r="S701" s="1"/>
      <c r="T701" s="1"/>
      <c r="U701" s="1"/>
    </row>
    <row r="702" ht="15.75" customHeight="1">
      <c r="A702" s="1"/>
      <c r="B702" s="1"/>
      <c r="C702" s="1"/>
      <c r="D702" s="2"/>
      <c r="E702" s="1"/>
      <c r="F702" s="1"/>
      <c r="G702" s="1"/>
      <c r="H702" s="1"/>
      <c r="I702" s="1"/>
      <c r="J702" s="1"/>
      <c r="K702" s="1"/>
      <c r="L702" s="1"/>
      <c r="M702" s="1"/>
      <c r="N702" s="1"/>
      <c r="O702" s="1"/>
      <c r="P702" s="1"/>
      <c r="Q702" s="1"/>
      <c r="R702" s="1"/>
      <c r="S702" s="1"/>
      <c r="T702" s="1"/>
      <c r="U702" s="1"/>
    </row>
    <row r="703" ht="15.75" customHeight="1">
      <c r="A703" s="1"/>
      <c r="B703" s="1"/>
      <c r="C703" s="1"/>
      <c r="D703" s="2"/>
      <c r="E703" s="1"/>
      <c r="F703" s="1"/>
      <c r="G703" s="1"/>
      <c r="H703" s="1"/>
      <c r="I703" s="1"/>
      <c r="J703" s="1"/>
      <c r="K703" s="1"/>
      <c r="L703" s="1"/>
      <c r="M703" s="1"/>
      <c r="N703" s="1"/>
      <c r="O703" s="1"/>
      <c r="P703" s="1"/>
      <c r="Q703" s="1"/>
      <c r="R703" s="1"/>
      <c r="S703" s="1"/>
      <c r="T703" s="1"/>
      <c r="U703" s="1"/>
    </row>
    <row r="704" ht="15.75" customHeight="1">
      <c r="A704" s="1"/>
      <c r="B704" s="1"/>
      <c r="C704" s="1"/>
      <c r="D704" s="2"/>
      <c r="E704" s="1"/>
      <c r="F704" s="1"/>
      <c r="G704" s="1"/>
      <c r="H704" s="1"/>
      <c r="I704" s="1"/>
      <c r="J704" s="1"/>
      <c r="K704" s="1"/>
      <c r="L704" s="1"/>
      <c r="M704" s="1"/>
      <c r="N704" s="1"/>
      <c r="O704" s="1"/>
      <c r="P704" s="1"/>
      <c r="Q704" s="1"/>
      <c r="R704" s="1"/>
      <c r="S704" s="1"/>
      <c r="T704" s="1"/>
      <c r="U704" s="1"/>
    </row>
    <row r="705" ht="15.75" customHeight="1">
      <c r="A705" s="1"/>
      <c r="B705" s="1"/>
      <c r="C705" s="1"/>
      <c r="D705" s="2"/>
      <c r="E705" s="1"/>
      <c r="F705" s="1"/>
      <c r="G705" s="1"/>
      <c r="H705" s="1"/>
      <c r="I705" s="1"/>
      <c r="J705" s="1"/>
      <c r="K705" s="1"/>
      <c r="L705" s="1"/>
      <c r="M705" s="1"/>
      <c r="N705" s="1"/>
      <c r="O705" s="1"/>
      <c r="P705" s="1"/>
      <c r="Q705" s="1"/>
      <c r="R705" s="1"/>
      <c r="S705" s="1"/>
      <c r="T705" s="1"/>
      <c r="U705" s="1"/>
    </row>
    <row r="706" ht="15.75" customHeight="1">
      <c r="A706" s="1"/>
      <c r="B706" s="1"/>
      <c r="C706" s="1"/>
      <c r="D706" s="2"/>
      <c r="E706" s="1"/>
      <c r="F706" s="1"/>
      <c r="G706" s="1"/>
      <c r="H706" s="1"/>
      <c r="I706" s="1"/>
      <c r="J706" s="1"/>
      <c r="K706" s="1"/>
      <c r="L706" s="1"/>
      <c r="M706" s="1"/>
      <c r="N706" s="1"/>
      <c r="O706" s="1"/>
      <c r="P706" s="1"/>
      <c r="Q706" s="1"/>
      <c r="R706" s="1"/>
      <c r="S706" s="1"/>
      <c r="T706" s="1"/>
      <c r="U706" s="1"/>
    </row>
    <row r="707" ht="15.75" customHeight="1">
      <c r="A707" s="1"/>
      <c r="B707" s="1"/>
      <c r="C707" s="1"/>
      <c r="D707" s="2"/>
      <c r="E707" s="1"/>
      <c r="F707" s="1"/>
      <c r="G707" s="1"/>
      <c r="H707" s="1"/>
      <c r="I707" s="1"/>
      <c r="J707" s="1"/>
      <c r="K707" s="1"/>
      <c r="L707" s="1"/>
      <c r="M707" s="1"/>
      <c r="N707" s="1"/>
      <c r="O707" s="1"/>
      <c r="P707" s="1"/>
      <c r="Q707" s="1"/>
      <c r="R707" s="1"/>
      <c r="S707" s="1"/>
      <c r="T707" s="1"/>
      <c r="U707" s="1"/>
    </row>
    <row r="708" ht="15.75" customHeight="1">
      <c r="A708" s="1"/>
      <c r="B708" s="1"/>
      <c r="C708" s="1"/>
      <c r="D708" s="2"/>
      <c r="E708" s="1"/>
      <c r="F708" s="1"/>
      <c r="G708" s="1"/>
      <c r="H708" s="1"/>
      <c r="I708" s="1"/>
      <c r="J708" s="1"/>
      <c r="K708" s="1"/>
      <c r="L708" s="1"/>
      <c r="M708" s="1"/>
      <c r="N708" s="1"/>
      <c r="O708" s="1"/>
      <c r="P708" s="1"/>
      <c r="Q708" s="1"/>
      <c r="R708" s="1"/>
      <c r="S708" s="1"/>
      <c r="T708" s="1"/>
      <c r="U708" s="1"/>
    </row>
    <row r="709" ht="15.75" customHeight="1">
      <c r="A709" s="1"/>
      <c r="B709" s="1"/>
      <c r="C709" s="1"/>
      <c r="D709" s="2"/>
      <c r="E709" s="1"/>
      <c r="F709" s="1"/>
      <c r="G709" s="1"/>
      <c r="H709" s="1"/>
      <c r="I709" s="1"/>
      <c r="J709" s="1"/>
      <c r="K709" s="1"/>
      <c r="L709" s="1"/>
      <c r="M709" s="1"/>
      <c r="N709" s="1"/>
      <c r="O709" s="1"/>
      <c r="P709" s="1"/>
      <c r="Q709" s="1"/>
      <c r="R709" s="1"/>
      <c r="S709" s="1"/>
      <c r="T709" s="1"/>
      <c r="U709" s="1"/>
    </row>
    <row r="710" ht="15.75" customHeight="1">
      <c r="A710" s="1"/>
      <c r="B710" s="1"/>
      <c r="C710" s="1"/>
      <c r="D710" s="2"/>
      <c r="E710" s="1"/>
      <c r="F710" s="1"/>
      <c r="G710" s="1"/>
      <c r="H710" s="1"/>
      <c r="I710" s="1"/>
      <c r="J710" s="1"/>
      <c r="K710" s="1"/>
      <c r="L710" s="1"/>
      <c r="M710" s="1"/>
      <c r="N710" s="1"/>
      <c r="O710" s="1"/>
      <c r="P710" s="1"/>
      <c r="Q710" s="1"/>
      <c r="R710" s="1"/>
      <c r="S710" s="1"/>
      <c r="T710" s="1"/>
      <c r="U710" s="1"/>
    </row>
    <row r="711" ht="15.75" customHeight="1">
      <c r="A711" s="1"/>
      <c r="B711" s="1"/>
      <c r="C711" s="1"/>
      <c r="D711" s="2"/>
      <c r="E711" s="1"/>
      <c r="F711" s="1"/>
      <c r="G711" s="1"/>
      <c r="H711" s="1"/>
      <c r="I711" s="1"/>
      <c r="J711" s="1"/>
      <c r="K711" s="1"/>
      <c r="L711" s="1"/>
      <c r="M711" s="1"/>
      <c r="N711" s="1"/>
      <c r="O711" s="1"/>
      <c r="P711" s="1"/>
      <c r="Q711" s="1"/>
      <c r="R711" s="1"/>
      <c r="S711" s="1"/>
      <c r="T711" s="1"/>
      <c r="U711" s="1"/>
    </row>
    <row r="712" ht="15.75" customHeight="1">
      <c r="A712" s="1"/>
      <c r="B712" s="1"/>
      <c r="C712" s="1"/>
      <c r="D712" s="2"/>
      <c r="E712" s="1"/>
      <c r="F712" s="1"/>
      <c r="G712" s="1"/>
      <c r="H712" s="1"/>
      <c r="I712" s="1"/>
      <c r="J712" s="1"/>
      <c r="K712" s="1"/>
      <c r="L712" s="1"/>
      <c r="M712" s="1"/>
      <c r="N712" s="1"/>
      <c r="O712" s="1"/>
      <c r="P712" s="1"/>
      <c r="Q712" s="1"/>
      <c r="R712" s="1"/>
      <c r="S712" s="1"/>
      <c r="T712" s="1"/>
      <c r="U712" s="1"/>
    </row>
    <row r="713" ht="15.75" customHeight="1">
      <c r="A713" s="1"/>
      <c r="B713" s="1"/>
      <c r="C713" s="1"/>
      <c r="D713" s="2"/>
      <c r="E713" s="1"/>
      <c r="F713" s="1"/>
      <c r="G713" s="1"/>
      <c r="H713" s="1"/>
      <c r="I713" s="1"/>
      <c r="J713" s="1"/>
      <c r="K713" s="1"/>
      <c r="L713" s="1"/>
      <c r="M713" s="1"/>
      <c r="N713" s="1"/>
      <c r="O713" s="1"/>
      <c r="P713" s="1"/>
      <c r="Q713" s="1"/>
      <c r="R713" s="1"/>
      <c r="S713" s="1"/>
      <c r="T713" s="1"/>
      <c r="U713" s="1"/>
    </row>
    <row r="714" ht="15.75" customHeight="1">
      <c r="A714" s="1"/>
      <c r="B714" s="1"/>
      <c r="C714" s="1"/>
      <c r="D714" s="2"/>
      <c r="E714" s="1"/>
      <c r="F714" s="1"/>
      <c r="G714" s="1"/>
      <c r="H714" s="1"/>
      <c r="I714" s="1"/>
      <c r="J714" s="1"/>
      <c r="K714" s="1"/>
      <c r="L714" s="1"/>
      <c r="M714" s="1"/>
      <c r="N714" s="1"/>
      <c r="O714" s="1"/>
      <c r="P714" s="1"/>
      <c r="Q714" s="1"/>
      <c r="R714" s="1"/>
      <c r="S714" s="1"/>
      <c r="T714" s="1"/>
      <c r="U714" s="1"/>
    </row>
    <row r="715" ht="15.75" customHeight="1">
      <c r="A715" s="1"/>
      <c r="B715" s="1"/>
      <c r="C715" s="1"/>
      <c r="D715" s="2"/>
      <c r="E715" s="1"/>
      <c r="F715" s="1"/>
      <c r="G715" s="1"/>
      <c r="H715" s="1"/>
      <c r="I715" s="1"/>
      <c r="J715" s="1"/>
      <c r="K715" s="1"/>
      <c r="L715" s="1"/>
      <c r="M715" s="1"/>
      <c r="N715" s="1"/>
      <c r="O715" s="1"/>
      <c r="P715" s="1"/>
      <c r="Q715" s="1"/>
      <c r="R715" s="1"/>
      <c r="S715" s="1"/>
      <c r="T715" s="1"/>
      <c r="U715" s="1"/>
    </row>
    <row r="716" ht="15.75" customHeight="1">
      <c r="A716" s="1"/>
      <c r="B716" s="1"/>
      <c r="C716" s="1"/>
      <c r="D716" s="2"/>
      <c r="E716" s="1"/>
      <c r="F716" s="1"/>
      <c r="G716" s="1"/>
      <c r="H716" s="1"/>
      <c r="I716" s="1"/>
      <c r="J716" s="1"/>
      <c r="K716" s="1"/>
      <c r="L716" s="1"/>
      <c r="M716" s="1"/>
      <c r="N716" s="1"/>
      <c r="O716" s="1"/>
      <c r="P716" s="1"/>
      <c r="Q716" s="1"/>
      <c r="R716" s="1"/>
      <c r="S716" s="1"/>
      <c r="T716" s="1"/>
      <c r="U716" s="1"/>
    </row>
    <row r="717" ht="15.75" customHeight="1">
      <c r="A717" s="1"/>
      <c r="B717" s="1"/>
      <c r="C717" s="1"/>
      <c r="D717" s="2"/>
      <c r="E717" s="1"/>
      <c r="F717" s="1"/>
      <c r="G717" s="1"/>
      <c r="H717" s="1"/>
      <c r="I717" s="1"/>
      <c r="J717" s="1"/>
      <c r="K717" s="1"/>
      <c r="L717" s="1"/>
      <c r="M717" s="1"/>
      <c r="N717" s="1"/>
      <c r="O717" s="1"/>
      <c r="P717" s="1"/>
      <c r="Q717" s="1"/>
      <c r="R717" s="1"/>
      <c r="S717" s="1"/>
      <c r="T717" s="1"/>
      <c r="U717" s="1"/>
    </row>
    <row r="718" ht="15.75" customHeight="1">
      <c r="A718" s="1"/>
      <c r="B718" s="1"/>
      <c r="C718" s="1"/>
      <c r="D718" s="2"/>
      <c r="E718" s="1"/>
      <c r="F718" s="1"/>
      <c r="G718" s="1"/>
      <c r="H718" s="1"/>
      <c r="I718" s="1"/>
      <c r="J718" s="1"/>
      <c r="K718" s="1"/>
      <c r="L718" s="1"/>
      <c r="M718" s="1"/>
      <c r="N718" s="1"/>
      <c r="O718" s="1"/>
      <c r="P718" s="1"/>
      <c r="Q718" s="1"/>
      <c r="R718" s="1"/>
      <c r="S718" s="1"/>
      <c r="T718" s="1"/>
      <c r="U718" s="1"/>
    </row>
    <row r="719" ht="15.75" customHeight="1">
      <c r="A719" s="1"/>
      <c r="B719" s="1"/>
      <c r="C719" s="1"/>
      <c r="D719" s="2"/>
      <c r="E719" s="1"/>
      <c r="F719" s="1"/>
      <c r="G719" s="1"/>
      <c r="H719" s="1"/>
      <c r="I719" s="1"/>
      <c r="J719" s="1"/>
      <c r="K719" s="1"/>
      <c r="L719" s="1"/>
      <c r="M719" s="1"/>
      <c r="N719" s="1"/>
      <c r="O719" s="1"/>
      <c r="P719" s="1"/>
      <c r="Q719" s="1"/>
      <c r="R719" s="1"/>
      <c r="S719" s="1"/>
      <c r="T719" s="1"/>
      <c r="U719" s="1"/>
    </row>
    <row r="720" ht="15.75" customHeight="1">
      <c r="A720" s="1"/>
      <c r="B720" s="1"/>
      <c r="C720" s="1"/>
      <c r="D720" s="2"/>
      <c r="E720" s="1"/>
      <c r="F720" s="1"/>
      <c r="G720" s="1"/>
      <c r="H720" s="1"/>
      <c r="I720" s="1"/>
      <c r="J720" s="1"/>
      <c r="K720" s="1"/>
      <c r="L720" s="1"/>
      <c r="M720" s="1"/>
      <c r="N720" s="1"/>
      <c r="O720" s="1"/>
      <c r="P720" s="1"/>
      <c r="Q720" s="1"/>
      <c r="R720" s="1"/>
      <c r="S720" s="1"/>
      <c r="T720" s="1"/>
      <c r="U720" s="1"/>
    </row>
    <row r="721" ht="15.75" customHeight="1">
      <c r="A721" s="1"/>
      <c r="B721" s="1"/>
      <c r="C721" s="1"/>
      <c r="D721" s="2"/>
      <c r="E721" s="1"/>
      <c r="F721" s="1"/>
      <c r="G721" s="1"/>
      <c r="H721" s="1"/>
      <c r="I721" s="1"/>
      <c r="J721" s="1"/>
      <c r="K721" s="1"/>
      <c r="L721" s="1"/>
      <c r="M721" s="1"/>
      <c r="N721" s="1"/>
      <c r="O721" s="1"/>
      <c r="P721" s="1"/>
      <c r="Q721" s="1"/>
      <c r="R721" s="1"/>
      <c r="S721" s="1"/>
      <c r="T721" s="1"/>
      <c r="U721" s="1"/>
    </row>
    <row r="722" ht="15.75" customHeight="1">
      <c r="A722" s="1"/>
      <c r="B722" s="1"/>
      <c r="C722" s="1"/>
      <c r="D722" s="2"/>
      <c r="E722" s="1"/>
      <c r="F722" s="1"/>
      <c r="G722" s="1"/>
      <c r="H722" s="1"/>
      <c r="I722" s="1"/>
      <c r="J722" s="1"/>
      <c r="K722" s="1"/>
      <c r="L722" s="1"/>
      <c r="M722" s="1"/>
      <c r="N722" s="1"/>
      <c r="O722" s="1"/>
      <c r="P722" s="1"/>
      <c r="Q722" s="1"/>
      <c r="R722" s="1"/>
      <c r="S722" s="1"/>
      <c r="T722" s="1"/>
      <c r="U722" s="1"/>
    </row>
    <row r="723" ht="15.75" customHeight="1">
      <c r="A723" s="1"/>
      <c r="B723" s="1"/>
      <c r="C723" s="1"/>
      <c r="D723" s="2"/>
      <c r="E723" s="1"/>
      <c r="F723" s="1"/>
      <c r="G723" s="1"/>
      <c r="H723" s="1"/>
      <c r="I723" s="1"/>
      <c r="J723" s="1"/>
      <c r="K723" s="1"/>
      <c r="L723" s="1"/>
      <c r="M723" s="1"/>
      <c r="N723" s="1"/>
      <c r="O723" s="1"/>
      <c r="P723" s="1"/>
      <c r="Q723" s="1"/>
      <c r="R723" s="1"/>
      <c r="S723" s="1"/>
      <c r="T723" s="1"/>
      <c r="U723" s="1"/>
    </row>
    <row r="724" ht="15.75" customHeight="1">
      <c r="A724" s="1"/>
      <c r="B724" s="1"/>
      <c r="C724" s="1"/>
      <c r="D724" s="2"/>
      <c r="E724" s="1"/>
      <c r="F724" s="1"/>
      <c r="G724" s="1"/>
      <c r="H724" s="1"/>
      <c r="I724" s="1"/>
      <c r="J724" s="1"/>
      <c r="K724" s="1"/>
      <c r="L724" s="1"/>
      <c r="M724" s="1"/>
      <c r="N724" s="1"/>
      <c r="O724" s="1"/>
      <c r="P724" s="1"/>
      <c r="Q724" s="1"/>
      <c r="R724" s="1"/>
      <c r="S724" s="1"/>
      <c r="T724" s="1"/>
      <c r="U724" s="1"/>
    </row>
    <row r="725" ht="15.75" customHeight="1">
      <c r="A725" s="1"/>
      <c r="B725" s="1"/>
      <c r="C725" s="1"/>
      <c r="D725" s="2"/>
      <c r="E725" s="1"/>
      <c r="F725" s="1"/>
      <c r="G725" s="1"/>
      <c r="H725" s="1"/>
      <c r="I725" s="1"/>
      <c r="J725" s="1"/>
      <c r="K725" s="1"/>
      <c r="L725" s="1"/>
      <c r="M725" s="1"/>
      <c r="N725" s="1"/>
      <c r="O725" s="1"/>
      <c r="P725" s="1"/>
      <c r="Q725" s="1"/>
      <c r="R725" s="1"/>
      <c r="S725" s="1"/>
      <c r="T725" s="1"/>
      <c r="U725" s="1"/>
    </row>
    <row r="726" ht="15.75" customHeight="1">
      <c r="A726" s="1"/>
      <c r="B726" s="1"/>
      <c r="C726" s="1"/>
      <c r="D726" s="2"/>
      <c r="E726" s="1"/>
      <c r="F726" s="1"/>
      <c r="G726" s="1"/>
      <c r="H726" s="1"/>
      <c r="I726" s="1"/>
      <c r="J726" s="1"/>
      <c r="K726" s="1"/>
      <c r="L726" s="1"/>
      <c r="M726" s="1"/>
      <c r="N726" s="1"/>
      <c r="O726" s="1"/>
      <c r="P726" s="1"/>
      <c r="Q726" s="1"/>
      <c r="R726" s="1"/>
      <c r="S726" s="1"/>
      <c r="T726" s="1"/>
      <c r="U726" s="1"/>
    </row>
    <row r="727" ht="15.75" customHeight="1">
      <c r="A727" s="1"/>
      <c r="B727" s="1"/>
      <c r="C727" s="1"/>
      <c r="D727" s="2"/>
      <c r="E727" s="1"/>
      <c r="F727" s="1"/>
      <c r="G727" s="1"/>
      <c r="H727" s="1"/>
      <c r="I727" s="1"/>
      <c r="J727" s="1"/>
      <c r="K727" s="1"/>
      <c r="L727" s="1"/>
      <c r="M727" s="1"/>
      <c r="N727" s="1"/>
      <c r="O727" s="1"/>
      <c r="P727" s="1"/>
      <c r="Q727" s="1"/>
      <c r="R727" s="1"/>
      <c r="S727" s="1"/>
      <c r="T727" s="1"/>
      <c r="U727" s="1"/>
    </row>
    <row r="728" ht="15.75" customHeight="1">
      <c r="A728" s="1"/>
      <c r="B728" s="1"/>
      <c r="C728" s="1"/>
      <c r="D728" s="2"/>
      <c r="E728" s="1"/>
      <c r="F728" s="1"/>
      <c r="G728" s="1"/>
      <c r="H728" s="1"/>
      <c r="I728" s="1"/>
      <c r="J728" s="1"/>
      <c r="K728" s="1"/>
      <c r="L728" s="1"/>
      <c r="M728" s="1"/>
      <c r="N728" s="1"/>
      <c r="O728" s="1"/>
      <c r="P728" s="1"/>
      <c r="Q728" s="1"/>
      <c r="R728" s="1"/>
      <c r="S728" s="1"/>
      <c r="T728" s="1"/>
      <c r="U728" s="1"/>
    </row>
    <row r="729" ht="15.75" customHeight="1">
      <c r="A729" s="1"/>
      <c r="B729" s="1"/>
      <c r="C729" s="1"/>
      <c r="D729" s="2"/>
      <c r="E729" s="1"/>
      <c r="F729" s="1"/>
      <c r="G729" s="1"/>
      <c r="H729" s="1"/>
      <c r="I729" s="1"/>
      <c r="J729" s="1"/>
      <c r="K729" s="1"/>
      <c r="L729" s="1"/>
      <c r="M729" s="1"/>
      <c r="N729" s="1"/>
      <c r="O729" s="1"/>
      <c r="P729" s="1"/>
      <c r="Q729" s="1"/>
      <c r="R729" s="1"/>
      <c r="S729" s="1"/>
      <c r="T729" s="1"/>
      <c r="U729" s="1"/>
    </row>
    <row r="730" ht="15.75" customHeight="1">
      <c r="A730" s="1"/>
      <c r="B730" s="1"/>
      <c r="C730" s="1"/>
      <c r="D730" s="2"/>
      <c r="E730" s="1"/>
      <c r="F730" s="1"/>
      <c r="G730" s="1"/>
      <c r="H730" s="1"/>
      <c r="I730" s="1"/>
      <c r="J730" s="1"/>
      <c r="K730" s="1"/>
      <c r="L730" s="1"/>
      <c r="M730" s="1"/>
      <c r="N730" s="1"/>
      <c r="O730" s="1"/>
      <c r="P730" s="1"/>
      <c r="Q730" s="1"/>
      <c r="R730" s="1"/>
      <c r="S730" s="1"/>
      <c r="T730" s="1"/>
      <c r="U730" s="1"/>
    </row>
    <row r="731" ht="15.75" customHeight="1">
      <c r="A731" s="1"/>
      <c r="B731" s="1"/>
      <c r="C731" s="1"/>
      <c r="D731" s="2"/>
      <c r="E731" s="1"/>
      <c r="F731" s="1"/>
      <c r="G731" s="1"/>
      <c r="H731" s="1"/>
      <c r="I731" s="1"/>
      <c r="J731" s="1"/>
      <c r="K731" s="1"/>
      <c r="L731" s="1"/>
      <c r="M731" s="1"/>
      <c r="N731" s="1"/>
      <c r="O731" s="1"/>
      <c r="P731" s="1"/>
      <c r="Q731" s="1"/>
      <c r="R731" s="1"/>
      <c r="S731" s="1"/>
      <c r="T731" s="1"/>
      <c r="U731" s="1"/>
    </row>
    <row r="732" ht="15.75" customHeight="1">
      <c r="A732" s="1"/>
      <c r="B732" s="1"/>
      <c r="C732" s="1"/>
      <c r="D732" s="2"/>
      <c r="E732" s="1"/>
      <c r="F732" s="1"/>
      <c r="G732" s="1"/>
      <c r="H732" s="1"/>
      <c r="I732" s="1"/>
      <c r="J732" s="1"/>
      <c r="K732" s="1"/>
      <c r="L732" s="1"/>
      <c r="M732" s="1"/>
      <c r="N732" s="1"/>
      <c r="O732" s="1"/>
      <c r="P732" s="1"/>
      <c r="Q732" s="1"/>
      <c r="R732" s="1"/>
      <c r="S732" s="1"/>
      <c r="T732" s="1"/>
      <c r="U732" s="1"/>
    </row>
    <row r="733" ht="15.75" customHeight="1">
      <c r="A733" s="1"/>
      <c r="B733" s="1"/>
      <c r="C733" s="1"/>
      <c r="D733" s="2"/>
      <c r="E733" s="1"/>
      <c r="F733" s="1"/>
      <c r="G733" s="1"/>
      <c r="H733" s="1"/>
      <c r="I733" s="1"/>
      <c r="J733" s="1"/>
      <c r="K733" s="1"/>
      <c r="L733" s="1"/>
      <c r="M733" s="1"/>
      <c r="N733" s="1"/>
      <c r="O733" s="1"/>
      <c r="P733" s="1"/>
      <c r="Q733" s="1"/>
      <c r="R733" s="1"/>
      <c r="S733" s="1"/>
      <c r="T733" s="1"/>
      <c r="U733" s="1"/>
    </row>
    <row r="734" ht="15.75" customHeight="1">
      <c r="A734" s="1"/>
      <c r="B734" s="1"/>
      <c r="C734" s="1"/>
      <c r="D734" s="2"/>
      <c r="E734" s="1"/>
      <c r="F734" s="1"/>
      <c r="G734" s="1"/>
      <c r="H734" s="1"/>
      <c r="I734" s="1"/>
      <c r="J734" s="1"/>
      <c r="K734" s="1"/>
      <c r="L734" s="1"/>
      <c r="M734" s="1"/>
      <c r="N734" s="1"/>
      <c r="O734" s="1"/>
      <c r="P734" s="1"/>
      <c r="Q734" s="1"/>
      <c r="R734" s="1"/>
      <c r="S734" s="1"/>
      <c r="T734" s="1"/>
      <c r="U734" s="1"/>
    </row>
    <row r="735" ht="15.75" customHeight="1">
      <c r="A735" s="1"/>
      <c r="B735" s="1"/>
      <c r="C735" s="1"/>
      <c r="D735" s="2"/>
      <c r="E735" s="1"/>
      <c r="F735" s="1"/>
      <c r="G735" s="1"/>
      <c r="H735" s="1"/>
      <c r="I735" s="1"/>
      <c r="J735" s="1"/>
      <c r="K735" s="1"/>
      <c r="L735" s="1"/>
      <c r="M735" s="1"/>
      <c r="N735" s="1"/>
      <c r="O735" s="1"/>
      <c r="P735" s="1"/>
      <c r="Q735" s="1"/>
      <c r="R735" s="1"/>
      <c r="S735" s="1"/>
      <c r="T735" s="1"/>
      <c r="U735" s="1"/>
    </row>
    <row r="736" ht="15.75" customHeight="1">
      <c r="A736" s="1"/>
      <c r="B736" s="1"/>
      <c r="C736" s="1"/>
      <c r="D736" s="2"/>
      <c r="E736" s="1"/>
      <c r="F736" s="1"/>
      <c r="G736" s="1"/>
      <c r="H736" s="1"/>
      <c r="I736" s="1"/>
      <c r="J736" s="1"/>
      <c r="K736" s="1"/>
      <c r="L736" s="1"/>
      <c r="M736" s="1"/>
      <c r="N736" s="1"/>
      <c r="O736" s="1"/>
      <c r="P736" s="1"/>
      <c r="Q736" s="1"/>
      <c r="R736" s="1"/>
      <c r="S736" s="1"/>
      <c r="T736" s="1"/>
      <c r="U736" s="1"/>
    </row>
    <row r="737" ht="15.75" customHeight="1">
      <c r="A737" s="1"/>
      <c r="B737" s="1"/>
      <c r="C737" s="1"/>
      <c r="D737" s="2"/>
      <c r="E737" s="1"/>
      <c r="F737" s="1"/>
      <c r="G737" s="1"/>
      <c r="H737" s="1"/>
      <c r="I737" s="1"/>
      <c r="J737" s="1"/>
      <c r="K737" s="1"/>
      <c r="L737" s="1"/>
      <c r="M737" s="1"/>
      <c r="N737" s="1"/>
      <c r="O737" s="1"/>
      <c r="P737" s="1"/>
      <c r="Q737" s="1"/>
      <c r="R737" s="1"/>
      <c r="S737" s="1"/>
      <c r="T737" s="1"/>
      <c r="U737" s="1"/>
    </row>
    <row r="738" ht="15.75" customHeight="1">
      <c r="A738" s="1"/>
      <c r="B738" s="1"/>
      <c r="C738" s="1"/>
      <c r="D738" s="2"/>
      <c r="E738" s="1"/>
      <c r="F738" s="1"/>
      <c r="G738" s="1"/>
      <c r="H738" s="1"/>
      <c r="I738" s="1"/>
      <c r="J738" s="1"/>
      <c r="K738" s="1"/>
      <c r="L738" s="1"/>
      <c r="M738" s="1"/>
      <c r="N738" s="1"/>
      <c r="O738" s="1"/>
      <c r="P738" s="1"/>
      <c r="Q738" s="1"/>
      <c r="R738" s="1"/>
      <c r="S738" s="1"/>
      <c r="T738" s="1"/>
      <c r="U738" s="1"/>
    </row>
    <row r="739" ht="15.75" customHeight="1">
      <c r="A739" s="1"/>
      <c r="B739" s="1"/>
      <c r="C739" s="1"/>
      <c r="D739" s="2"/>
      <c r="E739" s="1"/>
      <c r="F739" s="1"/>
      <c r="G739" s="1"/>
      <c r="H739" s="1"/>
      <c r="I739" s="1"/>
      <c r="J739" s="1"/>
      <c r="K739" s="1"/>
      <c r="L739" s="1"/>
      <c r="M739" s="1"/>
      <c r="N739" s="1"/>
      <c r="O739" s="1"/>
      <c r="P739" s="1"/>
      <c r="Q739" s="1"/>
      <c r="R739" s="1"/>
      <c r="S739" s="1"/>
      <c r="T739" s="1"/>
      <c r="U739" s="1"/>
    </row>
    <row r="740" ht="15.75" customHeight="1">
      <c r="A740" s="1"/>
      <c r="B740" s="1"/>
      <c r="C740" s="1"/>
      <c r="D740" s="2"/>
      <c r="E740" s="1"/>
      <c r="F740" s="1"/>
      <c r="G740" s="1"/>
      <c r="H740" s="1"/>
      <c r="I740" s="1"/>
      <c r="J740" s="1"/>
      <c r="K740" s="1"/>
      <c r="L740" s="1"/>
      <c r="M740" s="1"/>
      <c r="N740" s="1"/>
      <c r="O740" s="1"/>
      <c r="P740" s="1"/>
      <c r="Q740" s="1"/>
      <c r="R740" s="1"/>
      <c r="S740" s="1"/>
      <c r="T740" s="1"/>
      <c r="U740" s="1"/>
    </row>
    <row r="741" ht="15.75" customHeight="1">
      <c r="A741" s="1"/>
      <c r="B741" s="1"/>
      <c r="C741" s="1"/>
      <c r="D741" s="2"/>
      <c r="E741" s="1"/>
      <c r="F741" s="1"/>
      <c r="G741" s="1"/>
      <c r="H741" s="1"/>
      <c r="I741" s="1"/>
      <c r="J741" s="1"/>
      <c r="K741" s="1"/>
      <c r="L741" s="1"/>
      <c r="M741" s="1"/>
      <c r="N741" s="1"/>
      <c r="O741" s="1"/>
      <c r="P741" s="1"/>
      <c r="Q741" s="1"/>
      <c r="R741" s="1"/>
      <c r="S741" s="1"/>
      <c r="T741" s="1"/>
      <c r="U741" s="1"/>
    </row>
    <row r="742" ht="15.75" customHeight="1">
      <c r="A742" s="1"/>
      <c r="B742" s="1"/>
      <c r="C742" s="1"/>
      <c r="D742" s="2"/>
      <c r="E742" s="1"/>
      <c r="F742" s="1"/>
      <c r="G742" s="1"/>
      <c r="H742" s="1"/>
      <c r="I742" s="1"/>
      <c r="J742" s="1"/>
      <c r="K742" s="1"/>
      <c r="L742" s="1"/>
      <c r="M742" s="1"/>
      <c r="N742" s="1"/>
      <c r="O742" s="1"/>
      <c r="P742" s="1"/>
      <c r="Q742" s="1"/>
      <c r="R742" s="1"/>
      <c r="S742" s="1"/>
      <c r="T742" s="1"/>
      <c r="U742" s="1"/>
    </row>
    <row r="743" ht="15.75" customHeight="1">
      <c r="A743" s="1"/>
      <c r="B743" s="1"/>
      <c r="C743" s="1"/>
      <c r="D743" s="2"/>
      <c r="E743" s="1"/>
      <c r="F743" s="1"/>
      <c r="G743" s="1"/>
      <c r="H743" s="1"/>
      <c r="I743" s="1"/>
      <c r="J743" s="1"/>
      <c r="K743" s="1"/>
      <c r="L743" s="1"/>
      <c r="M743" s="1"/>
      <c r="N743" s="1"/>
      <c r="O743" s="1"/>
      <c r="P743" s="1"/>
      <c r="Q743" s="1"/>
      <c r="R743" s="1"/>
      <c r="S743" s="1"/>
      <c r="T743" s="1"/>
      <c r="U743" s="1"/>
    </row>
    <row r="744" ht="15.75" customHeight="1">
      <c r="A744" s="1"/>
      <c r="B744" s="1"/>
      <c r="C744" s="1"/>
      <c r="D744" s="2"/>
      <c r="E744" s="1"/>
      <c r="F744" s="1"/>
      <c r="G744" s="1"/>
      <c r="H744" s="1"/>
      <c r="I744" s="1"/>
      <c r="J744" s="1"/>
      <c r="K744" s="1"/>
      <c r="L744" s="1"/>
      <c r="M744" s="1"/>
      <c r="N744" s="1"/>
      <c r="O744" s="1"/>
      <c r="P744" s="1"/>
      <c r="Q744" s="1"/>
      <c r="R744" s="1"/>
      <c r="S744" s="1"/>
      <c r="T744" s="1"/>
      <c r="U744" s="1"/>
    </row>
    <row r="745" ht="15.75" customHeight="1">
      <c r="A745" s="1"/>
      <c r="B745" s="1"/>
      <c r="C745" s="1"/>
      <c r="D745" s="2"/>
      <c r="E745" s="1"/>
      <c r="F745" s="1"/>
      <c r="G745" s="1"/>
      <c r="H745" s="1"/>
      <c r="I745" s="1"/>
      <c r="J745" s="1"/>
      <c r="K745" s="1"/>
      <c r="L745" s="1"/>
      <c r="M745" s="1"/>
      <c r="N745" s="1"/>
      <c r="O745" s="1"/>
      <c r="P745" s="1"/>
      <c r="Q745" s="1"/>
      <c r="R745" s="1"/>
      <c r="S745" s="1"/>
      <c r="T745" s="1"/>
      <c r="U745" s="1"/>
    </row>
    <row r="746" ht="15.75" customHeight="1">
      <c r="A746" s="1"/>
      <c r="B746" s="1"/>
      <c r="C746" s="1"/>
      <c r="D746" s="2"/>
      <c r="E746" s="1"/>
      <c r="F746" s="1"/>
      <c r="G746" s="1"/>
      <c r="H746" s="1"/>
      <c r="I746" s="1"/>
      <c r="J746" s="1"/>
      <c r="K746" s="1"/>
      <c r="L746" s="1"/>
      <c r="M746" s="1"/>
      <c r="N746" s="1"/>
      <c r="O746" s="1"/>
      <c r="P746" s="1"/>
      <c r="Q746" s="1"/>
      <c r="R746" s="1"/>
      <c r="S746" s="1"/>
      <c r="T746" s="1"/>
      <c r="U746" s="1"/>
    </row>
    <row r="747" ht="15.75" customHeight="1">
      <c r="A747" s="1"/>
      <c r="B747" s="1"/>
      <c r="C747" s="1"/>
      <c r="D747" s="2"/>
      <c r="E747" s="1"/>
      <c r="F747" s="1"/>
      <c r="G747" s="1"/>
      <c r="H747" s="1"/>
      <c r="I747" s="1"/>
      <c r="J747" s="1"/>
      <c r="K747" s="1"/>
      <c r="L747" s="1"/>
      <c r="M747" s="1"/>
      <c r="N747" s="1"/>
      <c r="O747" s="1"/>
      <c r="P747" s="1"/>
      <c r="Q747" s="1"/>
      <c r="R747" s="1"/>
      <c r="S747" s="1"/>
      <c r="T747" s="1"/>
      <c r="U747" s="1"/>
    </row>
    <row r="748" ht="15.75" customHeight="1">
      <c r="A748" s="1"/>
      <c r="B748" s="1"/>
      <c r="C748" s="1"/>
      <c r="D748" s="2"/>
      <c r="E748" s="1"/>
      <c r="F748" s="1"/>
      <c r="G748" s="1"/>
      <c r="H748" s="1"/>
      <c r="I748" s="1"/>
      <c r="J748" s="1"/>
      <c r="K748" s="1"/>
      <c r="L748" s="1"/>
      <c r="M748" s="1"/>
      <c r="N748" s="1"/>
      <c r="O748" s="1"/>
      <c r="P748" s="1"/>
      <c r="Q748" s="1"/>
      <c r="R748" s="1"/>
      <c r="S748" s="1"/>
      <c r="T748" s="1"/>
      <c r="U748" s="1"/>
    </row>
    <row r="749" ht="15.75" customHeight="1">
      <c r="A749" s="1"/>
      <c r="B749" s="1"/>
      <c r="C749" s="1"/>
      <c r="D749" s="2"/>
      <c r="E749" s="1"/>
      <c r="F749" s="1"/>
      <c r="G749" s="1"/>
      <c r="H749" s="1"/>
      <c r="I749" s="1"/>
      <c r="J749" s="1"/>
      <c r="K749" s="1"/>
      <c r="L749" s="1"/>
      <c r="M749" s="1"/>
      <c r="N749" s="1"/>
      <c r="O749" s="1"/>
      <c r="P749" s="1"/>
      <c r="Q749" s="1"/>
      <c r="R749" s="1"/>
      <c r="S749" s="1"/>
      <c r="T749" s="1"/>
      <c r="U749" s="1"/>
    </row>
    <row r="750" ht="15.75" customHeight="1">
      <c r="A750" s="1"/>
      <c r="B750" s="1"/>
      <c r="C750" s="1"/>
      <c r="D750" s="2"/>
      <c r="E750" s="1"/>
      <c r="F750" s="1"/>
      <c r="G750" s="1"/>
      <c r="H750" s="1"/>
      <c r="I750" s="1"/>
      <c r="J750" s="1"/>
      <c r="K750" s="1"/>
      <c r="L750" s="1"/>
      <c r="M750" s="1"/>
      <c r="N750" s="1"/>
      <c r="O750" s="1"/>
      <c r="P750" s="1"/>
      <c r="Q750" s="1"/>
      <c r="R750" s="1"/>
      <c r="S750" s="1"/>
      <c r="T750" s="1"/>
      <c r="U750" s="1"/>
    </row>
    <row r="751" ht="15.75" customHeight="1">
      <c r="A751" s="1"/>
      <c r="B751" s="1"/>
      <c r="C751" s="1"/>
      <c r="D751" s="2"/>
      <c r="E751" s="1"/>
      <c r="F751" s="1"/>
      <c r="G751" s="1"/>
      <c r="H751" s="1"/>
      <c r="I751" s="1"/>
      <c r="J751" s="1"/>
      <c r="K751" s="1"/>
      <c r="L751" s="1"/>
      <c r="M751" s="1"/>
      <c r="N751" s="1"/>
      <c r="O751" s="1"/>
      <c r="P751" s="1"/>
      <c r="Q751" s="1"/>
      <c r="R751" s="1"/>
      <c r="S751" s="1"/>
      <c r="T751" s="1"/>
      <c r="U751" s="1"/>
    </row>
    <row r="752" ht="15.75" customHeight="1">
      <c r="A752" s="1"/>
      <c r="B752" s="1"/>
      <c r="C752" s="1"/>
      <c r="D752" s="2"/>
      <c r="E752" s="1"/>
      <c r="F752" s="1"/>
      <c r="G752" s="1"/>
      <c r="H752" s="1"/>
      <c r="I752" s="1"/>
      <c r="J752" s="1"/>
      <c r="K752" s="1"/>
      <c r="L752" s="1"/>
      <c r="M752" s="1"/>
      <c r="N752" s="1"/>
      <c r="O752" s="1"/>
      <c r="P752" s="1"/>
      <c r="Q752" s="1"/>
      <c r="R752" s="1"/>
      <c r="S752" s="1"/>
      <c r="T752" s="1"/>
      <c r="U752" s="1"/>
    </row>
    <row r="753" ht="15.75" customHeight="1">
      <c r="A753" s="1"/>
      <c r="B753" s="1"/>
      <c r="C753" s="1"/>
      <c r="D753" s="2"/>
      <c r="E753" s="1"/>
      <c r="F753" s="1"/>
      <c r="G753" s="1"/>
      <c r="H753" s="1"/>
      <c r="I753" s="1"/>
      <c r="J753" s="1"/>
      <c r="K753" s="1"/>
      <c r="L753" s="1"/>
      <c r="M753" s="1"/>
      <c r="N753" s="1"/>
      <c r="O753" s="1"/>
      <c r="P753" s="1"/>
      <c r="Q753" s="1"/>
      <c r="R753" s="1"/>
      <c r="S753" s="1"/>
      <c r="T753" s="1"/>
      <c r="U753" s="1"/>
    </row>
    <row r="754" ht="15.75" customHeight="1">
      <c r="A754" s="1"/>
      <c r="B754" s="1"/>
      <c r="C754" s="1"/>
      <c r="D754" s="2"/>
      <c r="E754" s="1"/>
      <c r="F754" s="1"/>
      <c r="G754" s="1"/>
      <c r="H754" s="1"/>
      <c r="I754" s="1"/>
      <c r="J754" s="1"/>
      <c r="K754" s="1"/>
      <c r="L754" s="1"/>
      <c r="M754" s="1"/>
      <c r="N754" s="1"/>
      <c r="O754" s="1"/>
      <c r="P754" s="1"/>
      <c r="Q754" s="1"/>
      <c r="R754" s="1"/>
      <c r="S754" s="1"/>
      <c r="T754" s="1"/>
      <c r="U754" s="1"/>
    </row>
    <row r="755" ht="15.75" customHeight="1">
      <c r="A755" s="1"/>
      <c r="B755" s="1"/>
      <c r="C755" s="1"/>
      <c r="D755" s="2"/>
      <c r="E755" s="1"/>
      <c r="F755" s="1"/>
      <c r="G755" s="1"/>
      <c r="H755" s="1"/>
      <c r="I755" s="1"/>
      <c r="J755" s="1"/>
      <c r="K755" s="1"/>
      <c r="L755" s="1"/>
      <c r="M755" s="1"/>
      <c r="N755" s="1"/>
      <c r="O755" s="1"/>
      <c r="P755" s="1"/>
      <c r="Q755" s="1"/>
      <c r="R755" s="1"/>
      <c r="S755" s="1"/>
      <c r="T755" s="1"/>
      <c r="U755" s="1"/>
    </row>
    <row r="756" ht="15.75" customHeight="1">
      <c r="A756" s="1"/>
      <c r="B756" s="1"/>
      <c r="C756" s="1"/>
      <c r="D756" s="2"/>
      <c r="E756" s="1"/>
      <c r="F756" s="1"/>
      <c r="G756" s="1"/>
      <c r="H756" s="1"/>
      <c r="I756" s="1"/>
      <c r="J756" s="1"/>
      <c r="K756" s="1"/>
      <c r="L756" s="1"/>
      <c r="M756" s="1"/>
      <c r="N756" s="1"/>
      <c r="O756" s="1"/>
      <c r="P756" s="1"/>
      <c r="Q756" s="1"/>
      <c r="R756" s="1"/>
      <c r="S756" s="1"/>
      <c r="T756" s="1"/>
      <c r="U756" s="1"/>
    </row>
    <row r="757" ht="15.75" customHeight="1">
      <c r="A757" s="1"/>
      <c r="B757" s="1"/>
      <c r="C757" s="1"/>
      <c r="D757" s="2"/>
      <c r="E757" s="1"/>
      <c r="F757" s="1"/>
      <c r="G757" s="1"/>
      <c r="H757" s="1"/>
      <c r="I757" s="1"/>
      <c r="J757" s="1"/>
      <c r="K757" s="1"/>
      <c r="L757" s="1"/>
      <c r="M757" s="1"/>
      <c r="N757" s="1"/>
      <c r="O757" s="1"/>
      <c r="P757" s="1"/>
      <c r="Q757" s="1"/>
      <c r="R757" s="1"/>
      <c r="S757" s="1"/>
      <c r="T757" s="1"/>
      <c r="U757" s="1"/>
    </row>
    <row r="758" ht="15.75" customHeight="1">
      <c r="A758" s="1"/>
      <c r="B758" s="1"/>
      <c r="C758" s="1"/>
      <c r="D758" s="2"/>
      <c r="E758" s="1"/>
      <c r="F758" s="1"/>
      <c r="G758" s="1"/>
      <c r="H758" s="1"/>
      <c r="I758" s="1"/>
      <c r="J758" s="1"/>
      <c r="K758" s="1"/>
      <c r="L758" s="1"/>
      <c r="M758" s="1"/>
      <c r="N758" s="1"/>
      <c r="O758" s="1"/>
      <c r="P758" s="1"/>
      <c r="Q758" s="1"/>
      <c r="R758" s="1"/>
      <c r="S758" s="1"/>
      <c r="T758" s="1"/>
      <c r="U758" s="1"/>
    </row>
    <row r="759" ht="15.75" customHeight="1">
      <c r="A759" s="1"/>
      <c r="B759" s="1"/>
      <c r="C759" s="1"/>
      <c r="D759" s="2"/>
      <c r="E759" s="1"/>
      <c r="F759" s="1"/>
      <c r="G759" s="1"/>
      <c r="H759" s="1"/>
      <c r="I759" s="1"/>
      <c r="J759" s="1"/>
      <c r="K759" s="1"/>
      <c r="L759" s="1"/>
      <c r="M759" s="1"/>
      <c r="N759" s="1"/>
      <c r="O759" s="1"/>
      <c r="P759" s="1"/>
      <c r="Q759" s="1"/>
      <c r="R759" s="1"/>
      <c r="S759" s="1"/>
      <c r="T759" s="1"/>
      <c r="U759" s="1"/>
    </row>
    <row r="760" ht="15.75" customHeight="1">
      <c r="A760" s="1"/>
      <c r="B760" s="1"/>
      <c r="C760" s="1"/>
      <c r="D760" s="2"/>
      <c r="E760" s="1"/>
      <c r="F760" s="1"/>
      <c r="G760" s="1"/>
      <c r="H760" s="1"/>
      <c r="I760" s="1"/>
      <c r="J760" s="1"/>
      <c r="K760" s="1"/>
      <c r="L760" s="1"/>
      <c r="M760" s="1"/>
      <c r="N760" s="1"/>
      <c r="O760" s="1"/>
      <c r="P760" s="1"/>
      <c r="Q760" s="1"/>
      <c r="R760" s="1"/>
      <c r="S760" s="1"/>
      <c r="T760" s="1"/>
      <c r="U760" s="1"/>
    </row>
    <row r="761" ht="15.75" customHeight="1">
      <c r="A761" s="1"/>
      <c r="B761" s="1"/>
      <c r="C761" s="1"/>
      <c r="D761" s="2"/>
      <c r="E761" s="1"/>
      <c r="F761" s="1"/>
      <c r="G761" s="1"/>
      <c r="H761" s="1"/>
      <c r="I761" s="1"/>
      <c r="J761" s="1"/>
      <c r="K761" s="1"/>
      <c r="L761" s="1"/>
      <c r="M761" s="1"/>
      <c r="N761" s="1"/>
      <c r="O761" s="1"/>
      <c r="P761" s="1"/>
      <c r="Q761" s="1"/>
      <c r="R761" s="1"/>
      <c r="S761" s="1"/>
      <c r="T761" s="1"/>
      <c r="U761" s="1"/>
    </row>
    <row r="762" ht="15.75" customHeight="1">
      <c r="A762" s="1"/>
      <c r="B762" s="1"/>
      <c r="C762" s="1"/>
      <c r="D762" s="2"/>
      <c r="E762" s="1"/>
      <c r="F762" s="1"/>
      <c r="G762" s="1"/>
      <c r="H762" s="1"/>
      <c r="I762" s="1"/>
      <c r="J762" s="1"/>
      <c r="K762" s="1"/>
      <c r="L762" s="1"/>
      <c r="M762" s="1"/>
      <c r="N762" s="1"/>
      <c r="O762" s="1"/>
      <c r="P762" s="1"/>
      <c r="Q762" s="1"/>
      <c r="R762" s="1"/>
      <c r="S762" s="1"/>
      <c r="T762" s="1"/>
      <c r="U762" s="1"/>
    </row>
    <row r="763" ht="15.75" customHeight="1">
      <c r="A763" s="1"/>
      <c r="B763" s="1"/>
      <c r="C763" s="1"/>
      <c r="D763" s="2"/>
      <c r="E763" s="1"/>
      <c r="F763" s="1"/>
      <c r="G763" s="1"/>
      <c r="H763" s="1"/>
      <c r="I763" s="1"/>
      <c r="J763" s="1"/>
      <c r="K763" s="1"/>
      <c r="L763" s="1"/>
      <c r="M763" s="1"/>
      <c r="N763" s="1"/>
      <c r="O763" s="1"/>
      <c r="P763" s="1"/>
      <c r="Q763" s="1"/>
      <c r="R763" s="1"/>
      <c r="S763" s="1"/>
      <c r="T763" s="1"/>
      <c r="U763" s="1"/>
    </row>
    <row r="764" ht="15.75" customHeight="1">
      <c r="A764" s="1"/>
      <c r="B764" s="1"/>
      <c r="C764" s="1"/>
      <c r="D764" s="2"/>
      <c r="E764" s="1"/>
      <c r="F764" s="1"/>
      <c r="G764" s="1"/>
      <c r="H764" s="1"/>
      <c r="I764" s="1"/>
      <c r="J764" s="1"/>
      <c r="K764" s="1"/>
      <c r="L764" s="1"/>
      <c r="M764" s="1"/>
      <c r="N764" s="1"/>
      <c r="O764" s="1"/>
      <c r="P764" s="1"/>
      <c r="Q764" s="1"/>
      <c r="R764" s="1"/>
      <c r="S764" s="1"/>
      <c r="T764" s="1"/>
      <c r="U764" s="1"/>
    </row>
    <row r="765" ht="15.75" customHeight="1">
      <c r="A765" s="1"/>
      <c r="B765" s="1"/>
      <c r="C765" s="1"/>
      <c r="D765" s="2"/>
      <c r="E765" s="1"/>
      <c r="F765" s="1"/>
      <c r="G765" s="1"/>
      <c r="H765" s="1"/>
      <c r="I765" s="1"/>
      <c r="J765" s="1"/>
      <c r="K765" s="1"/>
      <c r="L765" s="1"/>
      <c r="M765" s="1"/>
      <c r="N765" s="1"/>
      <c r="O765" s="1"/>
      <c r="P765" s="1"/>
      <c r="Q765" s="1"/>
      <c r="R765" s="1"/>
      <c r="S765" s="1"/>
      <c r="T765" s="1"/>
      <c r="U765" s="1"/>
    </row>
    <row r="766" ht="15.75" customHeight="1">
      <c r="A766" s="1"/>
      <c r="B766" s="1"/>
      <c r="C766" s="1"/>
      <c r="D766" s="2"/>
      <c r="E766" s="1"/>
      <c r="F766" s="1"/>
      <c r="G766" s="1"/>
      <c r="H766" s="1"/>
      <c r="I766" s="1"/>
      <c r="J766" s="1"/>
      <c r="K766" s="1"/>
      <c r="L766" s="1"/>
      <c r="M766" s="1"/>
      <c r="N766" s="1"/>
      <c r="O766" s="1"/>
      <c r="P766" s="1"/>
      <c r="Q766" s="1"/>
      <c r="R766" s="1"/>
      <c r="S766" s="1"/>
      <c r="T766" s="1"/>
      <c r="U766" s="1"/>
    </row>
    <row r="767" ht="15.75" customHeight="1">
      <c r="A767" s="1"/>
      <c r="B767" s="1"/>
      <c r="C767" s="1"/>
      <c r="D767" s="2"/>
      <c r="E767" s="1"/>
      <c r="F767" s="1"/>
      <c r="G767" s="1"/>
      <c r="H767" s="1"/>
      <c r="I767" s="1"/>
      <c r="J767" s="1"/>
      <c r="K767" s="1"/>
      <c r="L767" s="1"/>
      <c r="M767" s="1"/>
      <c r="N767" s="1"/>
      <c r="O767" s="1"/>
      <c r="P767" s="1"/>
      <c r="Q767" s="1"/>
      <c r="R767" s="1"/>
      <c r="S767" s="1"/>
      <c r="T767" s="1"/>
      <c r="U767" s="1"/>
    </row>
    <row r="768" ht="15.75" customHeight="1">
      <c r="A768" s="1"/>
      <c r="B768" s="1"/>
      <c r="C768" s="1"/>
      <c r="D768" s="2"/>
      <c r="E768" s="1"/>
      <c r="F768" s="1"/>
      <c r="G768" s="1"/>
      <c r="H768" s="1"/>
      <c r="I768" s="1"/>
      <c r="J768" s="1"/>
      <c r="K768" s="1"/>
      <c r="L768" s="1"/>
      <c r="M768" s="1"/>
      <c r="N768" s="1"/>
      <c r="O768" s="1"/>
      <c r="P768" s="1"/>
      <c r="Q768" s="1"/>
      <c r="R768" s="1"/>
      <c r="S768" s="1"/>
      <c r="T768" s="1"/>
      <c r="U768" s="1"/>
    </row>
    <row r="769" ht="15.75" customHeight="1">
      <c r="A769" s="1"/>
      <c r="B769" s="1"/>
      <c r="C769" s="1"/>
      <c r="D769" s="2"/>
      <c r="E769" s="1"/>
      <c r="F769" s="1"/>
      <c r="G769" s="1"/>
      <c r="H769" s="1"/>
      <c r="I769" s="1"/>
      <c r="J769" s="1"/>
      <c r="K769" s="1"/>
      <c r="L769" s="1"/>
      <c r="M769" s="1"/>
      <c r="N769" s="1"/>
      <c r="O769" s="1"/>
      <c r="P769" s="1"/>
      <c r="Q769" s="1"/>
      <c r="R769" s="1"/>
      <c r="S769" s="1"/>
      <c r="T769" s="1"/>
      <c r="U769" s="1"/>
    </row>
    <row r="770" ht="15.75" customHeight="1">
      <c r="A770" s="1"/>
      <c r="B770" s="1"/>
      <c r="C770" s="1"/>
      <c r="D770" s="2"/>
      <c r="E770" s="1"/>
      <c r="F770" s="1"/>
      <c r="G770" s="1"/>
      <c r="H770" s="1"/>
      <c r="I770" s="1"/>
      <c r="J770" s="1"/>
      <c r="K770" s="1"/>
      <c r="L770" s="1"/>
      <c r="M770" s="1"/>
      <c r="N770" s="1"/>
      <c r="O770" s="1"/>
      <c r="P770" s="1"/>
      <c r="Q770" s="1"/>
      <c r="R770" s="1"/>
      <c r="S770" s="1"/>
      <c r="T770" s="1"/>
      <c r="U770" s="1"/>
    </row>
    <row r="771" ht="15.75" customHeight="1">
      <c r="A771" s="1"/>
      <c r="B771" s="1"/>
      <c r="C771" s="1"/>
      <c r="D771" s="2"/>
      <c r="E771" s="1"/>
      <c r="F771" s="1"/>
      <c r="G771" s="1"/>
      <c r="H771" s="1"/>
      <c r="I771" s="1"/>
      <c r="J771" s="1"/>
      <c r="K771" s="1"/>
      <c r="L771" s="1"/>
      <c r="M771" s="1"/>
      <c r="N771" s="1"/>
      <c r="O771" s="1"/>
      <c r="P771" s="1"/>
      <c r="Q771" s="1"/>
      <c r="R771" s="1"/>
      <c r="S771" s="1"/>
      <c r="T771" s="1"/>
      <c r="U771" s="1"/>
    </row>
    <row r="772" ht="15.75" customHeight="1">
      <c r="A772" s="1"/>
      <c r="B772" s="1"/>
      <c r="C772" s="1"/>
      <c r="D772" s="2"/>
      <c r="E772" s="1"/>
      <c r="F772" s="1"/>
      <c r="G772" s="1"/>
      <c r="H772" s="1"/>
      <c r="I772" s="1"/>
      <c r="J772" s="1"/>
      <c r="K772" s="1"/>
      <c r="L772" s="1"/>
      <c r="M772" s="1"/>
      <c r="N772" s="1"/>
      <c r="O772" s="1"/>
      <c r="P772" s="1"/>
      <c r="Q772" s="1"/>
      <c r="R772" s="1"/>
      <c r="S772" s="1"/>
      <c r="T772" s="1"/>
      <c r="U772" s="1"/>
    </row>
    <row r="773" ht="15.75" customHeight="1">
      <c r="A773" s="1"/>
      <c r="B773" s="1"/>
      <c r="C773" s="1"/>
      <c r="D773" s="2"/>
      <c r="E773" s="1"/>
      <c r="F773" s="1"/>
      <c r="G773" s="1"/>
      <c r="H773" s="1"/>
      <c r="I773" s="1"/>
      <c r="J773" s="1"/>
      <c r="K773" s="1"/>
      <c r="L773" s="1"/>
      <c r="M773" s="1"/>
      <c r="N773" s="1"/>
      <c r="O773" s="1"/>
      <c r="P773" s="1"/>
      <c r="Q773" s="1"/>
      <c r="R773" s="1"/>
      <c r="S773" s="1"/>
      <c r="T773" s="1"/>
      <c r="U773" s="1"/>
    </row>
    <row r="774" ht="15.75" customHeight="1">
      <c r="A774" s="1"/>
      <c r="B774" s="1"/>
      <c r="C774" s="1"/>
      <c r="D774" s="2"/>
      <c r="E774" s="1"/>
      <c r="F774" s="1"/>
      <c r="G774" s="1"/>
      <c r="H774" s="1"/>
      <c r="I774" s="1"/>
      <c r="J774" s="1"/>
      <c r="K774" s="1"/>
      <c r="L774" s="1"/>
      <c r="M774" s="1"/>
      <c r="N774" s="1"/>
      <c r="O774" s="1"/>
      <c r="P774" s="1"/>
      <c r="Q774" s="1"/>
      <c r="R774" s="1"/>
      <c r="S774" s="1"/>
      <c r="T774" s="1"/>
      <c r="U774" s="1"/>
    </row>
    <row r="775" ht="15.75" customHeight="1">
      <c r="A775" s="1"/>
      <c r="B775" s="1"/>
      <c r="C775" s="1"/>
      <c r="D775" s="2"/>
      <c r="E775" s="1"/>
      <c r="F775" s="1"/>
      <c r="G775" s="1"/>
      <c r="H775" s="1"/>
      <c r="I775" s="1"/>
      <c r="J775" s="1"/>
      <c r="K775" s="1"/>
      <c r="L775" s="1"/>
      <c r="M775" s="1"/>
      <c r="N775" s="1"/>
      <c r="O775" s="1"/>
      <c r="P775" s="1"/>
      <c r="Q775" s="1"/>
      <c r="R775" s="1"/>
      <c r="S775" s="1"/>
      <c r="T775" s="1"/>
      <c r="U775" s="1"/>
    </row>
    <row r="776" ht="15.75" customHeight="1">
      <c r="A776" s="1"/>
      <c r="B776" s="1"/>
      <c r="C776" s="1"/>
      <c r="D776" s="2"/>
      <c r="E776" s="1"/>
      <c r="F776" s="1"/>
      <c r="G776" s="1"/>
      <c r="H776" s="1"/>
      <c r="I776" s="1"/>
      <c r="J776" s="1"/>
      <c r="K776" s="1"/>
      <c r="L776" s="1"/>
      <c r="M776" s="1"/>
      <c r="N776" s="1"/>
      <c r="O776" s="1"/>
      <c r="P776" s="1"/>
      <c r="Q776" s="1"/>
      <c r="R776" s="1"/>
      <c r="S776" s="1"/>
      <c r="T776" s="1"/>
      <c r="U776" s="1"/>
    </row>
    <row r="777" ht="15.75" customHeight="1">
      <c r="A777" s="1"/>
      <c r="B777" s="1"/>
      <c r="C777" s="1"/>
      <c r="D777" s="2"/>
      <c r="E777" s="1"/>
      <c r="F777" s="1"/>
      <c r="G777" s="1"/>
      <c r="H777" s="1"/>
      <c r="I777" s="1"/>
      <c r="J777" s="1"/>
      <c r="K777" s="1"/>
      <c r="L777" s="1"/>
      <c r="M777" s="1"/>
      <c r="N777" s="1"/>
      <c r="O777" s="1"/>
      <c r="P777" s="1"/>
      <c r="Q777" s="1"/>
      <c r="R777" s="1"/>
      <c r="S777" s="1"/>
      <c r="T777" s="1"/>
      <c r="U777" s="1"/>
    </row>
    <row r="778" ht="15.75" customHeight="1">
      <c r="A778" s="1"/>
      <c r="B778" s="1"/>
      <c r="C778" s="1"/>
      <c r="D778" s="2"/>
      <c r="E778" s="1"/>
      <c r="F778" s="1"/>
      <c r="G778" s="1"/>
      <c r="H778" s="1"/>
      <c r="I778" s="1"/>
      <c r="J778" s="1"/>
      <c r="K778" s="1"/>
      <c r="L778" s="1"/>
      <c r="M778" s="1"/>
      <c r="N778" s="1"/>
      <c r="O778" s="1"/>
      <c r="P778" s="1"/>
      <c r="Q778" s="1"/>
      <c r="R778" s="1"/>
      <c r="S778" s="1"/>
      <c r="T778" s="1"/>
      <c r="U778" s="1"/>
    </row>
    <row r="779" ht="15.75" customHeight="1">
      <c r="A779" s="1"/>
      <c r="B779" s="1"/>
      <c r="C779" s="1"/>
      <c r="D779" s="2"/>
      <c r="E779" s="1"/>
      <c r="F779" s="1"/>
      <c r="G779" s="1"/>
      <c r="H779" s="1"/>
      <c r="I779" s="1"/>
      <c r="J779" s="1"/>
      <c r="K779" s="1"/>
      <c r="L779" s="1"/>
      <c r="M779" s="1"/>
      <c r="N779" s="1"/>
      <c r="O779" s="1"/>
      <c r="P779" s="1"/>
      <c r="Q779" s="1"/>
      <c r="R779" s="1"/>
      <c r="S779" s="1"/>
      <c r="T779" s="1"/>
      <c r="U779" s="1"/>
    </row>
    <row r="780" ht="15.75" customHeight="1">
      <c r="A780" s="1"/>
      <c r="B780" s="1"/>
      <c r="C780" s="1"/>
      <c r="D780" s="2"/>
      <c r="E780" s="1"/>
      <c r="F780" s="1"/>
      <c r="G780" s="1"/>
      <c r="H780" s="1"/>
      <c r="I780" s="1"/>
      <c r="J780" s="1"/>
      <c r="K780" s="1"/>
      <c r="L780" s="1"/>
      <c r="M780" s="1"/>
      <c r="N780" s="1"/>
      <c r="O780" s="1"/>
      <c r="P780" s="1"/>
      <c r="Q780" s="1"/>
      <c r="R780" s="1"/>
      <c r="S780" s="1"/>
      <c r="T780" s="1"/>
      <c r="U780" s="1"/>
    </row>
    <row r="781" ht="15.75" customHeight="1">
      <c r="A781" s="1"/>
      <c r="B781" s="1"/>
      <c r="C781" s="1"/>
      <c r="D781" s="2"/>
      <c r="E781" s="1"/>
      <c r="F781" s="1"/>
      <c r="G781" s="1"/>
      <c r="H781" s="1"/>
      <c r="I781" s="1"/>
      <c r="J781" s="1"/>
      <c r="K781" s="1"/>
      <c r="L781" s="1"/>
      <c r="M781" s="1"/>
      <c r="N781" s="1"/>
      <c r="O781" s="1"/>
      <c r="P781" s="1"/>
      <c r="Q781" s="1"/>
      <c r="R781" s="1"/>
      <c r="S781" s="1"/>
      <c r="T781" s="1"/>
      <c r="U781" s="1"/>
    </row>
    <row r="782" ht="15.75" customHeight="1">
      <c r="A782" s="1"/>
      <c r="B782" s="1"/>
      <c r="C782" s="1"/>
      <c r="D782" s="2"/>
      <c r="E782" s="1"/>
      <c r="F782" s="1"/>
      <c r="G782" s="1"/>
      <c r="H782" s="1"/>
      <c r="I782" s="1"/>
      <c r="J782" s="1"/>
      <c r="K782" s="1"/>
      <c r="L782" s="1"/>
      <c r="M782" s="1"/>
      <c r="N782" s="1"/>
      <c r="O782" s="1"/>
      <c r="P782" s="1"/>
      <c r="Q782" s="1"/>
      <c r="R782" s="1"/>
      <c r="S782" s="1"/>
      <c r="T782" s="1"/>
      <c r="U782" s="1"/>
    </row>
    <row r="783" ht="15.75" customHeight="1">
      <c r="A783" s="1"/>
      <c r="B783" s="1"/>
      <c r="C783" s="1"/>
      <c r="D783" s="2"/>
      <c r="E783" s="1"/>
      <c r="F783" s="1"/>
      <c r="G783" s="1"/>
      <c r="H783" s="1"/>
      <c r="I783" s="1"/>
      <c r="J783" s="1"/>
      <c r="K783" s="1"/>
      <c r="L783" s="1"/>
      <c r="M783" s="1"/>
      <c r="N783" s="1"/>
      <c r="O783" s="1"/>
      <c r="P783" s="1"/>
      <c r="Q783" s="1"/>
      <c r="R783" s="1"/>
      <c r="S783" s="1"/>
      <c r="T783" s="1"/>
      <c r="U783" s="1"/>
    </row>
    <row r="784" ht="15.75" customHeight="1">
      <c r="A784" s="1"/>
      <c r="B784" s="1"/>
      <c r="C784" s="1"/>
      <c r="D784" s="2"/>
      <c r="E784" s="1"/>
      <c r="F784" s="1"/>
      <c r="G784" s="1"/>
      <c r="H784" s="1"/>
      <c r="I784" s="1"/>
      <c r="J784" s="1"/>
      <c r="K784" s="1"/>
      <c r="L784" s="1"/>
      <c r="M784" s="1"/>
      <c r="N784" s="1"/>
      <c r="O784" s="1"/>
      <c r="P784" s="1"/>
      <c r="Q784" s="1"/>
      <c r="R784" s="1"/>
      <c r="S784" s="1"/>
      <c r="T784" s="1"/>
      <c r="U784" s="1"/>
    </row>
    <row r="785" ht="15.75" customHeight="1">
      <c r="A785" s="1"/>
      <c r="B785" s="1"/>
      <c r="C785" s="1"/>
      <c r="D785" s="2"/>
      <c r="E785" s="1"/>
      <c r="F785" s="1"/>
      <c r="G785" s="1"/>
      <c r="H785" s="1"/>
      <c r="I785" s="1"/>
      <c r="J785" s="1"/>
      <c r="K785" s="1"/>
      <c r="L785" s="1"/>
      <c r="M785" s="1"/>
      <c r="N785" s="1"/>
      <c r="O785" s="1"/>
      <c r="P785" s="1"/>
      <c r="Q785" s="1"/>
      <c r="R785" s="1"/>
      <c r="S785" s="1"/>
      <c r="T785" s="1"/>
      <c r="U785" s="1"/>
    </row>
    <row r="786" ht="15.75" customHeight="1">
      <c r="A786" s="1"/>
      <c r="B786" s="1"/>
      <c r="C786" s="1"/>
      <c r="D786" s="2"/>
      <c r="E786" s="1"/>
      <c r="F786" s="1"/>
      <c r="G786" s="1"/>
      <c r="H786" s="1"/>
      <c r="I786" s="1"/>
      <c r="J786" s="1"/>
      <c r="K786" s="1"/>
      <c r="L786" s="1"/>
      <c r="M786" s="1"/>
      <c r="N786" s="1"/>
      <c r="O786" s="1"/>
      <c r="P786" s="1"/>
      <c r="Q786" s="1"/>
      <c r="R786" s="1"/>
      <c r="S786" s="1"/>
      <c r="T786" s="1"/>
      <c r="U786" s="1"/>
    </row>
    <row r="787" ht="15.75" customHeight="1">
      <c r="A787" s="1"/>
      <c r="B787" s="1"/>
      <c r="C787" s="1"/>
      <c r="D787" s="2"/>
      <c r="E787" s="1"/>
      <c r="F787" s="1"/>
      <c r="G787" s="1"/>
      <c r="H787" s="1"/>
      <c r="I787" s="1"/>
      <c r="J787" s="1"/>
      <c r="K787" s="1"/>
      <c r="L787" s="1"/>
      <c r="M787" s="1"/>
      <c r="N787" s="1"/>
      <c r="O787" s="1"/>
      <c r="P787" s="1"/>
      <c r="Q787" s="1"/>
      <c r="R787" s="1"/>
      <c r="S787" s="1"/>
      <c r="T787" s="1"/>
      <c r="U787" s="1"/>
    </row>
    <row r="788" ht="15.75" customHeight="1">
      <c r="A788" s="1"/>
      <c r="B788" s="1"/>
      <c r="C788" s="1"/>
      <c r="D788" s="2"/>
      <c r="E788" s="1"/>
      <c r="F788" s="1"/>
      <c r="G788" s="1"/>
      <c r="H788" s="1"/>
      <c r="I788" s="1"/>
      <c r="J788" s="1"/>
      <c r="K788" s="1"/>
      <c r="L788" s="1"/>
      <c r="M788" s="1"/>
      <c r="N788" s="1"/>
      <c r="O788" s="1"/>
      <c r="P788" s="1"/>
      <c r="Q788" s="1"/>
      <c r="R788" s="1"/>
      <c r="S788" s="1"/>
      <c r="T788" s="1"/>
      <c r="U788" s="1"/>
    </row>
    <row r="789" ht="15.75" customHeight="1">
      <c r="A789" s="1"/>
      <c r="B789" s="1"/>
      <c r="C789" s="1"/>
      <c r="D789" s="2"/>
      <c r="E789" s="1"/>
      <c r="F789" s="1"/>
      <c r="G789" s="1"/>
      <c r="H789" s="1"/>
      <c r="I789" s="1"/>
      <c r="J789" s="1"/>
      <c r="K789" s="1"/>
      <c r="L789" s="1"/>
      <c r="M789" s="1"/>
      <c r="N789" s="1"/>
      <c r="O789" s="1"/>
      <c r="P789" s="1"/>
      <c r="Q789" s="1"/>
      <c r="R789" s="1"/>
      <c r="S789" s="1"/>
      <c r="T789" s="1"/>
      <c r="U789" s="1"/>
    </row>
    <row r="790" ht="15.75" customHeight="1">
      <c r="A790" s="1"/>
      <c r="B790" s="1"/>
      <c r="C790" s="1"/>
      <c r="D790" s="2"/>
      <c r="E790" s="1"/>
      <c r="F790" s="1"/>
      <c r="G790" s="1"/>
      <c r="H790" s="1"/>
      <c r="I790" s="1"/>
      <c r="J790" s="1"/>
      <c r="K790" s="1"/>
      <c r="L790" s="1"/>
      <c r="M790" s="1"/>
      <c r="N790" s="1"/>
      <c r="O790" s="1"/>
      <c r="P790" s="1"/>
      <c r="Q790" s="1"/>
      <c r="R790" s="1"/>
      <c r="S790" s="1"/>
      <c r="T790" s="1"/>
      <c r="U790" s="1"/>
    </row>
    <row r="791" ht="15.75" customHeight="1">
      <c r="A791" s="1"/>
      <c r="B791" s="1"/>
      <c r="C791" s="1"/>
      <c r="D791" s="2"/>
      <c r="E791" s="1"/>
      <c r="F791" s="1"/>
      <c r="G791" s="1"/>
      <c r="H791" s="1"/>
      <c r="I791" s="1"/>
      <c r="J791" s="1"/>
      <c r="K791" s="1"/>
      <c r="L791" s="1"/>
      <c r="M791" s="1"/>
      <c r="N791" s="1"/>
      <c r="O791" s="1"/>
      <c r="P791" s="1"/>
      <c r="Q791" s="1"/>
      <c r="R791" s="1"/>
      <c r="S791" s="1"/>
      <c r="T791" s="1"/>
      <c r="U791" s="1"/>
    </row>
    <row r="792" ht="15.75" customHeight="1">
      <c r="A792" s="1"/>
      <c r="B792" s="1"/>
      <c r="C792" s="1"/>
      <c r="D792" s="2"/>
      <c r="E792" s="1"/>
      <c r="F792" s="1"/>
      <c r="G792" s="1"/>
      <c r="H792" s="1"/>
      <c r="I792" s="1"/>
      <c r="J792" s="1"/>
      <c r="K792" s="1"/>
      <c r="L792" s="1"/>
      <c r="M792" s="1"/>
      <c r="N792" s="1"/>
      <c r="O792" s="1"/>
      <c r="P792" s="1"/>
      <c r="Q792" s="1"/>
      <c r="R792" s="1"/>
      <c r="S792" s="1"/>
      <c r="T792" s="1"/>
      <c r="U792" s="1"/>
    </row>
    <row r="793" ht="15.75" customHeight="1">
      <c r="A793" s="1"/>
      <c r="B793" s="1"/>
      <c r="C793" s="1"/>
      <c r="D793" s="2"/>
      <c r="E793" s="1"/>
      <c r="F793" s="1"/>
      <c r="G793" s="1"/>
      <c r="H793" s="1"/>
      <c r="I793" s="1"/>
      <c r="J793" s="1"/>
      <c r="K793" s="1"/>
      <c r="L793" s="1"/>
      <c r="M793" s="1"/>
      <c r="N793" s="1"/>
      <c r="O793" s="1"/>
      <c r="P793" s="1"/>
      <c r="Q793" s="1"/>
      <c r="R793" s="1"/>
      <c r="S793" s="1"/>
      <c r="T793" s="1"/>
      <c r="U793" s="1"/>
    </row>
    <row r="794" ht="15.75" customHeight="1">
      <c r="A794" s="1"/>
      <c r="B794" s="1"/>
      <c r="C794" s="1"/>
      <c r="D794" s="2"/>
      <c r="E794" s="1"/>
      <c r="F794" s="1"/>
      <c r="G794" s="1"/>
      <c r="H794" s="1"/>
      <c r="I794" s="1"/>
      <c r="J794" s="1"/>
      <c r="K794" s="1"/>
      <c r="L794" s="1"/>
      <c r="M794" s="1"/>
      <c r="N794" s="1"/>
      <c r="O794" s="1"/>
      <c r="P794" s="1"/>
      <c r="Q794" s="1"/>
      <c r="R794" s="1"/>
      <c r="S794" s="1"/>
      <c r="T794" s="1"/>
      <c r="U794" s="1"/>
    </row>
    <row r="795" ht="15.75" customHeight="1">
      <c r="A795" s="1"/>
      <c r="B795" s="1"/>
      <c r="C795" s="1"/>
      <c r="D795" s="2"/>
      <c r="E795" s="1"/>
      <c r="F795" s="1"/>
      <c r="G795" s="1"/>
      <c r="H795" s="1"/>
      <c r="I795" s="1"/>
      <c r="J795" s="1"/>
      <c r="K795" s="1"/>
      <c r="L795" s="1"/>
      <c r="M795" s="1"/>
      <c r="N795" s="1"/>
      <c r="O795" s="1"/>
      <c r="P795" s="1"/>
      <c r="Q795" s="1"/>
      <c r="R795" s="1"/>
      <c r="S795" s="1"/>
      <c r="T795" s="1"/>
      <c r="U795" s="1"/>
    </row>
    <row r="796" ht="15.75" customHeight="1">
      <c r="A796" s="1"/>
      <c r="B796" s="1"/>
      <c r="C796" s="1"/>
      <c r="D796" s="2"/>
      <c r="E796" s="1"/>
      <c r="F796" s="1"/>
      <c r="G796" s="1"/>
      <c r="H796" s="1"/>
      <c r="I796" s="1"/>
      <c r="J796" s="1"/>
      <c r="K796" s="1"/>
      <c r="L796" s="1"/>
      <c r="M796" s="1"/>
      <c r="N796" s="1"/>
      <c r="O796" s="1"/>
      <c r="P796" s="1"/>
      <c r="Q796" s="1"/>
      <c r="R796" s="1"/>
      <c r="S796" s="1"/>
      <c r="T796" s="1"/>
      <c r="U796" s="1"/>
    </row>
    <row r="797" ht="15.75" customHeight="1">
      <c r="A797" s="1"/>
      <c r="B797" s="1"/>
      <c r="C797" s="1"/>
      <c r="D797" s="2"/>
      <c r="E797" s="1"/>
      <c r="F797" s="1"/>
      <c r="G797" s="1"/>
      <c r="H797" s="1"/>
      <c r="I797" s="1"/>
      <c r="J797" s="1"/>
      <c r="K797" s="1"/>
      <c r="L797" s="1"/>
      <c r="M797" s="1"/>
      <c r="N797" s="1"/>
      <c r="O797" s="1"/>
      <c r="P797" s="1"/>
      <c r="Q797" s="1"/>
      <c r="R797" s="1"/>
      <c r="S797" s="1"/>
      <c r="T797" s="1"/>
      <c r="U797" s="1"/>
    </row>
    <row r="798" ht="15.75" customHeight="1">
      <c r="A798" s="1"/>
      <c r="B798" s="1"/>
      <c r="C798" s="1"/>
      <c r="D798" s="2"/>
      <c r="E798" s="1"/>
      <c r="F798" s="1"/>
      <c r="G798" s="1"/>
      <c r="H798" s="1"/>
      <c r="I798" s="1"/>
      <c r="J798" s="1"/>
      <c r="K798" s="1"/>
      <c r="L798" s="1"/>
      <c r="M798" s="1"/>
      <c r="N798" s="1"/>
      <c r="O798" s="1"/>
      <c r="P798" s="1"/>
      <c r="Q798" s="1"/>
      <c r="R798" s="1"/>
      <c r="S798" s="1"/>
      <c r="T798" s="1"/>
      <c r="U798" s="1"/>
    </row>
    <row r="799" ht="15.75" customHeight="1">
      <c r="A799" s="1"/>
      <c r="B799" s="1"/>
      <c r="C799" s="1"/>
      <c r="D799" s="2"/>
      <c r="E799" s="1"/>
      <c r="F799" s="1"/>
      <c r="G799" s="1"/>
      <c r="H799" s="1"/>
      <c r="I799" s="1"/>
      <c r="J799" s="1"/>
      <c r="K799" s="1"/>
      <c r="L799" s="1"/>
      <c r="M799" s="1"/>
      <c r="N799" s="1"/>
      <c r="O799" s="1"/>
      <c r="P799" s="1"/>
      <c r="Q799" s="1"/>
      <c r="R799" s="1"/>
      <c r="S799" s="1"/>
      <c r="T799" s="1"/>
      <c r="U799" s="1"/>
    </row>
    <row r="800" ht="15.75" customHeight="1">
      <c r="A800" s="1"/>
      <c r="B800" s="1"/>
      <c r="C800" s="1"/>
      <c r="D800" s="2"/>
      <c r="E800" s="1"/>
      <c r="F800" s="1"/>
      <c r="G800" s="1"/>
      <c r="H800" s="1"/>
      <c r="I800" s="1"/>
      <c r="J800" s="1"/>
      <c r="K800" s="1"/>
      <c r="L800" s="1"/>
      <c r="M800" s="1"/>
      <c r="N800" s="1"/>
      <c r="O800" s="1"/>
      <c r="P800" s="1"/>
      <c r="Q800" s="1"/>
      <c r="R800" s="1"/>
      <c r="S800" s="1"/>
      <c r="T800" s="1"/>
      <c r="U800" s="1"/>
    </row>
    <row r="801" ht="15.75" customHeight="1">
      <c r="A801" s="1"/>
      <c r="B801" s="1"/>
      <c r="C801" s="1"/>
      <c r="D801" s="2"/>
      <c r="E801" s="1"/>
      <c r="F801" s="1"/>
      <c r="G801" s="1"/>
      <c r="H801" s="1"/>
      <c r="I801" s="1"/>
      <c r="J801" s="1"/>
      <c r="K801" s="1"/>
      <c r="L801" s="1"/>
      <c r="M801" s="1"/>
      <c r="N801" s="1"/>
      <c r="O801" s="1"/>
      <c r="P801" s="1"/>
      <c r="Q801" s="1"/>
      <c r="R801" s="1"/>
      <c r="S801" s="1"/>
      <c r="T801" s="1"/>
      <c r="U801" s="1"/>
    </row>
    <row r="802" ht="15.75" customHeight="1">
      <c r="A802" s="1"/>
      <c r="B802" s="1"/>
      <c r="C802" s="1"/>
      <c r="D802" s="2"/>
      <c r="E802" s="1"/>
      <c r="F802" s="1"/>
      <c r="G802" s="1"/>
      <c r="H802" s="1"/>
      <c r="I802" s="1"/>
      <c r="J802" s="1"/>
      <c r="K802" s="1"/>
      <c r="L802" s="1"/>
      <c r="M802" s="1"/>
      <c r="N802" s="1"/>
      <c r="O802" s="1"/>
      <c r="P802" s="1"/>
      <c r="Q802" s="1"/>
      <c r="R802" s="1"/>
      <c r="S802" s="1"/>
      <c r="T802" s="1"/>
      <c r="U802" s="1"/>
    </row>
    <row r="803" ht="15.75" customHeight="1">
      <c r="A803" s="1"/>
      <c r="B803" s="1"/>
      <c r="C803" s="1"/>
      <c r="D803" s="2"/>
      <c r="E803" s="1"/>
      <c r="F803" s="1"/>
      <c r="G803" s="1"/>
      <c r="H803" s="1"/>
      <c r="I803" s="1"/>
      <c r="J803" s="1"/>
      <c r="K803" s="1"/>
      <c r="L803" s="1"/>
      <c r="M803" s="1"/>
      <c r="N803" s="1"/>
      <c r="O803" s="1"/>
      <c r="P803" s="1"/>
      <c r="Q803" s="1"/>
      <c r="R803" s="1"/>
      <c r="S803" s="1"/>
      <c r="T803" s="1"/>
      <c r="U803" s="1"/>
    </row>
    <row r="804" ht="15.75" customHeight="1">
      <c r="A804" s="1"/>
      <c r="B804" s="1"/>
      <c r="C804" s="1"/>
      <c r="D804" s="2"/>
      <c r="E804" s="1"/>
      <c r="F804" s="1"/>
      <c r="G804" s="1"/>
      <c r="H804" s="1"/>
      <c r="I804" s="1"/>
      <c r="J804" s="1"/>
      <c r="K804" s="1"/>
      <c r="L804" s="1"/>
      <c r="M804" s="1"/>
      <c r="N804" s="1"/>
      <c r="O804" s="1"/>
      <c r="P804" s="1"/>
      <c r="Q804" s="1"/>
      <c r="R804" s="1"/>
      <c r="S804" s="1"/>
      <c r="T804" s="1"/>
      <c r="U804" s="1"/>
    </row>
    <row r="805" ht="15.75" customHeight="1">
      <c r="A805" s="1"/>
      <c r="B805" s="1"/>
      <c r="C805" s="1"/>
      <c r="D805" s="2"/>
      <c r="E805" s="1"/>
      <c r="F805" s="1"/>
      <c r="G805" s="1"/>
      <c r="H805" s="1"/>
      <c r="I805" s="1"/>
      <c r="J805" s="1"/>
      <c r="K805" s="1"/>
      <c r="L805" s="1"/>
      <c r="M805" s="1"/>
      <c r="N805" s="1"/>
      <c r="O805" s="1"/>
      <c r="P805" s="1"/>
      <c r="Q805" s="1"/>
      <c r="R805" s="1"/>
      <c r="S805" s="1"/>
      <c r="T805" s="1"/>
      <c r="U805" s="1"/>
    </row>
    <row r="806" ht="15.75" customHeight="1">
      <c r="A806" s="1"/>
      <c r="B806" s="1"/>
      <c r="C806" s="1"/>
      <c r="D806" s="2"/>
      <c r="E806" s="1"/>
      <c r="F806" s="1"/>
      <c r="G806" s="1"/>
      <c r="H806" s="1"/>
      <c r="I806" s="1"/>
      <c r="J806" s="1"/>
      <c r="K806" s="1"/>
      <c r="L806" s="1"/>
      <c r="M806" s="1"/>
      <c r="N806" s="1"/>
      <c r="O806" s="1"/>
      <c r="P806" s="1"/>
      <c r="Q806" s="1"/>
      <c r="R806" s="1"/>
      <c r="S806" s="1"/>
      <c r="T806" s="1"/>
      <c r="U806" s="1"/>
    </row>
    <row r="807" ht="15.75" customHeight="1">
      <c r="A807" s="1"/>
      <c r="B807" s="1"/>
      <c r="C807" s="1"/>
      <c r="D807" s="2"/>
      <c r="E807" s="1"/>
      <c r="F807" s="1"/>
      <c r="G807" s="1"/>
      <c r="H807" s="1"/>
      <c r="I807" s="1"/>
      <c r="J807" s="1"/>
      <c r="K807" s="1"/>
      <c r="L807" s="1"/>
      <c r="M807" s="1"/>
      <c r="N807" s="1"/>
      <c r="O807" s="1"/>
      <c r="P807" s="1"/>
      <c r="Q807" s="1"/>
      <c r="R807" s="1"/>
      <c r="S807" s="1"/>
      <c r="T807" s="1"/>
      <c r="U807" s="1"/>
    </row>
    <row r="808" ht="15.75" customHeight="1">
      <c r="A808" s="1"/>
      <c r="B808" s="1"/>
      <c r="C808" s="1"/>
      <c r="D808" s="2"/>
      <c r="E808" s="1"/>
      <c r="F808" s="1"/>
      <c r="G808" s="1"/>
      <c r="H808" s="1"/>
      <c r="I808" s="1"/>
      <c r="J808" s="1"/>
      <c r="K808" s="1"/>
      <c r="L808" s="1"/>
      <c r="M808" s="1"/>
      <c r="N808" s="1"/>
      <c r="O808" s="1"/>
      <c r="P808" s="1"/>
      <c r="Q808" s="1"/>
      <c r="R808" s="1"/>
      <c r="S808" s="1"/>
      <c r="T808" s="1"/>
      <c r="U808" s="1"/>
    </row>
    <row r="809" ht="15.75" customHeight="1">
      <c r="A809" s="1"/>
      <c r="B809" s="1"/>
      <c r="C809" s="1"/>
      <c r="D809" s="2"/>
      <c r="E809" s="1"/>
      <c r="F809" s="1"/>
      <c r="G809" s="1"/>
      <c r="H809" s="1"/>
      <c r="I809" s="1"/>
      <c r="J809" s="1"/>
      <c r="K809" s="1"/>
      <c r="L809" s="1"/>
      <c r="M809" s="1"/>
      <c r="N809" s="1"/>
      <c r="O809" s="1"/>
      <c r="P809" s="1"/>
      <c r="Q809" s="1"/>
      <c r="R809" s="1"/>
      <c r="S809" s="1"/>
      <c r="T809" s="1"/>
      <c r="U809" s="1"/>
    </row>
    <row r="810" ht="15.75" customHeight="1">
      <c r="A810" s="1"/>
      <c r="B810" s="1"/>
      <c r="C810" s="1"/>
      <c r="D810" s="2"/>
      <c r="E810" s="1"/>
      <c r="F810" s="1"/>
      <c r="G810" s="1"/>
      <c r="H810" s="1"/>
      <c r="I810" s="1"/>
      <c r="J810" s="1"/>
      <c r="K810" s="1"/>
      <c r="L810" s="1"/>
      <c r="M810" s="1"/>
      <c r="N810" s="1"/>
      <c r="O810" s="1"/>
      <c r="P810" s="1"/>
      <c r="Q810" s="1"/>
      <c r="R810" s="1"/>
      <c r="S810" s="1"/>
      <c r="T810" s="1"/>
      <c r="U810" s="1"/>
    </row>
    <row r="811" ht="15.75" customHeight="1">
      <c r="A811" s="1"/>
      <c r="B811" s="1"/>
      <c r="C811" s="1"/>
      <c r="D811" s="2"/>
      <c r="E811" s="1"/>
      <c r="F811" s="1"/>
      <c r="G811" s="1"/>
      <c r="H811" s="1"/>
      <c r="I811" s="1"/>
      <c r="J811" s="1"/>
      <c r="K811" s="1"/>
      <c r="L811" s="1"/>
      <c r="M811" s="1"/>
      <c r="N811" s="1"/>
      <c r="O811" s="1"/>
      <c r="P811" s="1"/>
      <c r="Q811" s="1"/>
      <c r="R811" s="1"/>
      <c r="S811" s="1"/>
      <c r="T811" s="1"/>
      <c r="U811" s="1"/>
    </row>
    <row r="812" ht="15.75" customHeight="1">
      <c r="A812" s="1"/>
      <c r="B812" s="1"/>
      <c r="C812" s="1"/>
      <c r="D812" s="2"/>
      <c r="E812" s="1"/>
      <c r="F812" s="1"/>
      <c r="G812" s="1"/>
      <c r="H812" s="1"/>
      <c r="I812" s="1"/>
      <c r="J812" s="1"/>
      <c r="K812" s="1"/>
      <c r="L812" s="1"/>
      <c r="M812" s="1"/>
      <c r="N812" s="1"/>
      <c r="O812" s="1"/>
      <c r="P812" s="1"/>
      <c r="Q812" s="1"/>
      <c r="R812" s="1"/>
      <c r="S812" s="1"/>
      <c r="T812" s="1"/>
      <c r="U812" s="1"/>
    </row>
    <row r="813" ht="15.75" customHeight="1">
      <c r="A813" s="1"/>
      <c r="B813" s="1"/>
      <c r="C813" s="1"/>
      <c r="D813" s="2"/>
      <c r="E813" s="1"/>
      <c r="F813" s="1"/>
      <c r="G813" s="1"/>
      <c r="H813" s="1"/>
      <c r="I813" s="1"/>
      <c r="J813" s="1"/>
      <c r="K813" s="1"/>
      <c r="L813" s="1"/>
      <c r="M813" s="1"/>
      <c r="N813" s="1"/>
      <c r="O813" s="1"/>
      <c r="P813" s="1"/>
      <c r="Q813" s="1"/>
      <c r="R813" s="1"/>
      <c r="S813" s="1"/>
      <c r="T813" s="1"/>
      <c r="U813" s="1"/>
    </row>
    <row r="814" ht="15.75" customHeight="1">
      <c r="A814" s="1"/>
      <c r="B814" s="1"/>
      <c r="C814" s="1"/>
      <c r="D814" s="2"/>
      <c r="E814" s="1"/>
      <c r="F814" s="1"/>
      <c r="G814" s="1"/>
      <c r="H814" s="1"/>
      <c r="I814" s="1"/>
      <c r="J814" s="1"/>
      <c r="K814" s="1"/>
      <c r="L814" s="1"/>
      <c r="M814" s="1"/>
      <c r="N814" s="1"/>
      <c r="O814" s="1"/>
      <c r="P814" s="1"/>
      <c r="Q814" s="1"/>
      <c r="R814" s="1"/>
      <c r="S814" s="1"/>
      <c r="T814" s="1"/>
      <c r="U814" s="1"/>
    </row>
    <row r="815" ht="15.75" customHeight="1">
      <c r="A815" s="1"/>
      <c r="B815" s="1"/>
      <c r="C815" s="1"/>
      <c r="D815" s="2"/>
      <c r="E815" s="1"/>
      <c r="F815" s="1"/>
      <c r="G815" s="1"/>
      <c r="H815" s="1"/>
      <c r="I815" s="1"/>
      <c r="J815" s="1"/>
      <c r="K815" s="1"/>
      <c r="L815" s="1"/>
      <c r="M815" s="1"/>
      <c r="N815" s="1"/>
      <c r="O815" s="1"/>
      <c r="P815" s="1"/>
      <c r="Q815" s="1"/>
      <c r="R815" s="1"/>
      <c r="S815" s="1"/>
      <c r="T815" s="1"/>
      <c r="U815" s="1"/>
    </row>
    <row r="816" ht="15.75" customHeight="1">
      <c r="A816" s="1"/>
      <c r="B816" s="1"/>
      <c r="C816" s="1"/>
      <c r="D816" s="2"/>
      <c r="E816" s="1"/>
      <c r="F816" s="1"/>
      <c r="G816" s="1"/>
      <c r="H816" s="1"/>
      <c r="I816" s="1"/>
      <c r="J816" s="1"/>
      <c r="K816" s="1"/>
      <c r="L816" s="1"/>
      <c r="M816" s="1"/>
      <c r="N816" s="1"/>
      <c r="O816" s="1"/>
      <c r="P816" s="1"/>
      <c r="Q816" s="1"/>
      <c r="R816" s="1"/>
      <c r="S816" s="1"/>
      <c r="T816" s="1"/>
      <c r="U816" s="1"/>
    </row>
    <row r="817" ht="15.75" customHeight="1">
      <c r="A817" s="1"/>
      <c r="B817" s="1"/>
      <c r="C817" s="1"/>
      <c r="D817" s="2"/>
      <c r="E817" s="1"/>
      <c r="F817" s="1"/>
      <c r="G817" s="1"/>
      <c r="H817" s="1"/>
      <c r="I817" s="1"/>
      <c r="J817" s="1"/>
      <c r="K817" s="1"/>
      <c r="L817" s="1"/>
      <c r="M817" s="1"/>
      <c r="N817" s="1"/>
      <c r="O817" s="1"/>
      <c r="P817" s="1"/>
      <c r="Q817" s="1"/>
      <c r="R817" s="1"/>
      <c r="S817" s="1"/>
      <c r="T817" s="1"/>
      <c r="U817" s="1"/>
    </row>
    <row r="818" ht="15.75" customHeight="1">
      <c r="A818" s="1"/>
      <c r="B818" s="1"/>
      <c r="C818" s="1"/>
      <c r="D818" s="2"/>
      <c r="E818" s="1"/>
      <c r="F818" s="1"/>
      <c r="G818" s="1"/>
      <c r="H818" s="1"/>
      <c r="I818" s="1"/>
      <c r="J818" s="1"/>
      <c r="K818" s="1"/>
      <c r="L818" s="1"/>
      <c r="M818" s="1"/>
      <c r="N818" s="1"/>
      <c r="O818" s="1"/>
      <c r="P818" s="1"/>
      <c r="Q818" s="1"/>
      <c r="R818" s="1"/>
      <c r="S818" s="1"/>
      <c r="T818" s="1"/>
      <c r="U818" s="1"/>
    </row>
    <row r="819" ht="15.75" customHeight="1">
      <c r="A819" s="1"/>
      <c r="B819" s="1"/>
      <c r="C819" s="1"/>
      <c r="D819" s="2"/>
      <c r="E819" s="1"/>
      <c r="F819" s="1"/>
      <c r="G819" s="1"/>
      <c r="H819" s="1"/>
      <c r="I819" s="1"/>
      <c r="J819" s="1"/>
      <c r="K819" s="1"/>
      <c r="L819" s="1"/>
      <c r="M819" s="1"/>
      <c r="N819" s="1"/>
      <c r="O819" s="1"/>
      <c r="P819" s="1"/>
      <c r="Q819" s="1"/>
      <c r="R819" s="1"/>
      <c r="S819" s="1"/>
      <c r="T819" s="1"/>
      <c r="U819" s="1"/>
    </row>
    <row r="820" ht="15.75" customHeight="1">
      <c r="A820" s="1"/>
      <c r="B820" s="1"/>
      <c r="C820" s="1"/>
      <c r="D820" s="2"/>
      <c r="E820" s="1"/>
      <c r="F820" s="1"/>
      <c r="G820" s="1"/>
      <c r="H820" s="1"/>
      <c r="I820" s="1"/>
      <c r="J820" s="1"/>
      <c r="K820" s="1"/>
      <c r="L820" s="1"/>
      <c r="M820" s="1"/>
      <c r="N820" s="1"/>
      <c r="O820" s="1"/>
      <c r="P820" s="1"/>
      <c r="Q820" s="1"/>
      <c r="R820" s="1"/>
      <c r="S820" s="1"/>
      <c r="T820" s="1"/>
      <c r="U820" s="1"/>
    </row>
    <row r="821" ht="15.75" customHeight="1">
      <c r="A821" s="1"/>
      <c r="B821" s="1"/>
      <c r="C821" s="1"/>
      <c r="D821" s="2"/>
      <c r="E821" s="1"/>
      <c r="F821" s="1"/>
      <c r="G821" s="1"/>
      <c r="H821" s="1"/>
      <c r="I821" s="1"/>
      <c r="J821" s="1"/>
      <c r="K821" s="1"/>
      <c r="L821" s="1"/>
      <c r="M821" s="1"/>
      <c r="N821" s="1"/>
      <c r="O821" s="1"/>
      <c r="P821" s="1"/>
      <c r="Q821" s="1"/>
      <c r="R821" s="1"/>
      <c r="S821" s="1"/>
      <c r="T821" s="1"/>
      <c r="U821" s="1"/>
    </row>
    <row r="822" ht="15.75" customHeight="1">
      <c r="A822" s="1"/>
      <c r="B822" s="1"/>
      <c r="C822" s="1"/>
      <c r="D822" s="2"/>
      <c r="E822" s="1"/>
      <c r="F822" s="1"/>
      <c r="G822" s="1"/>
      <c r="H822" s="1"/>
      <c r="I822" s="1"/>
      <c r="J822" s="1"/>
      <c r="K822" s="1"/>
      <c r="L822" s="1"/>
      <c r="M822" s="1"/>
      <c r="N822" s="1"/>
      <c r="O822" s="1"/>
      <c r="P822" s="1"/>
      <c r="Q822" s="1"/>
      <c r="R822" s="1"/>
      <c r="S822" s="1"/>
      <c r="T822" s="1"/>
      <c r="U822" s="1"/>
    </row>
    <row r="823" ht="15.75" customHeight="1">
      <c r="A823" s="1"/>
      <c r="B823" s="1"/>
      <c r="C823" s="1"/>
      <c r="D823" s="2"/>
      <c r="E823" s="1"/>
      <c r="F823" s="1"/>
      <c r="G823" s="1"/>
      <c r="H823" s="1"/>
      <c r="I823" s="1"/>
      <c r="J823" s="1"/>
      <c r="K823" s="1"/>
      <c r="L823" s="1"/>
      <c r="M823" s="1"/>
      <c r="N823" s="1"/>
      <c r="O823" s="1"/>
      <c r="P823" s="1"/>
      <c r="Q823" s="1"/>
      <c r="R823" s="1"/>
      <c r="S823" s="1"/>
      <c r="T823" s="1"/>
      <c r="U823" s="1"/>
    </row>
    <row r="824" ht="15.75" customHeight="1">
      <c r="A824" s="1"/>
      <c r="B824" s="1"/>
      <c r="C824" s="1"/>
      <c r="D824" s="2"/>
      <c r="E824" s="1"/>
      <c r="F824" s="1"/>
      <c r="G824" s="1"/>
      <c r="H824" s="1"/>
      <c r="I824" s="1"/>
      <c r="J824" s="1"/>
      <c r="K824" s="1"/>
      <c r="L824" s="1"/>
      <c r="M824" s="1"/>
      <c r="N824" s="1"/>
      <c r="O824" s="1"/>
      <c r="P824" s="1"/>
      <c r="Q824" s="1"/>
      <c r="R824" s="1"/>
      <c r="S824" s="1"/>
      <c r="T824" s="1"/>
      <c r="U824" s="1"/>
    </row>
    <row r="825" ht="15.75" customHeight="1">
      <c r="A825" s="1"/>
      <c r="B825" s="1"/>
      <c r="C825" s="1"/>
      <c r="D825" s="2"/>
      <c r="E825" s="1"/>
      <c r="F825" s="1"/>
      <c r="G825" s="1"/>
      <c r="H825" s="1"/>
      <c r="I825" s="1"/>
      <c r="J825" s="1"/>
      <c r="K825" s="1"/>
      <c r="L825" s="1"/>
      <c r="M825" s="1"/>
      <c r="N825" s="1"/>
      <c r="O825" s="1"/>
      <c r="P825" s="1"/>
      <c r="Q825" s="1"/>
      <c r="R825" s="1"/>
      <c r="S825" s="1"/>
      <c r="T825" s="1"/>
      <c r="U825" s="1"/>
    </row>
    <row r="826" ht="15.75" customHeight="1">
      <c r="A826" s="1"/>
      <c r="B826" s="1"/>
      <c r="C826" s="1"/>
      <c r="D826" s="2"/>
      <c r="E826" s="1"/>
      <c r="F826" s="1"/>
      <c r="G826" s="1"/>
      <c r="H826" s="1"/>
      <c r="I826" s="1"/>
      <c r="J826" s="1"/>
      <c r="K826" s="1"/>
      <c r="L826" s="1"/>
      <c r="M826" s="1"/>
      <c r="N826" s="1"/>
      <c r="O826" s="1"/>
      <c r="P826" s="1"/>
      <c r="Q826" s="1"/>
      <c r="R826" s="1"/>
      <c r="S826" s="1"/>
      <c r="T826" s="1"/>
      <c r="U826" s="1"/>
    </row>
    <row r="827" ht="15.75" customHeight="1">
      <c r="A827" s="1"/>
      <c r="B827" s="1"/>
      <c r="C827" s="1"/>
      <c r="D827" s="2"/>
      <c r="E827" s="1"/>
      <c r="F827" s="1"/>
      <c r="G827" s="1"/>
      <c r="H827" s="1"/>
      <c r="I827" s="1"/>
      <c r="J827" s="1"/>
      <c r="K827" s="1"/>
      <c r="L827" s="1"/>
      <c r="M827" s="1"/>
      <c r="N827" s="1"/>
      <c r="O827" s="1"/>
      <c r="P827" s="1"/>
      <c r="Q827" s="1"/>
      <c r="R827" s="1"/>
      <c r="S827" s="1"/>
      <c r="T827" s="1"/>
      <c r="U827" s="1"/>
    </row>
    <row r="828" ht="15.75" customHeight="1">
      <c r="A828" s="1"/>
      <c r="B828" s="1"/>
      <c r="C828" s="1"/>
      <c r="D828" s="2"/>
      <c r="E828" s="1"/>
      <c r="F828" s="1"/>
      <c r="G828" s="1"/>
      <c r="H828" s="1"/>
      <c r="I828" s="1"/>
      <c r="J828" s="1"/>
      <c r="K828" s="1"/>
      <c r="L828" s="1"/>
      <c r="M828" s="1"/>
      <c r="N828" s="1"/>
      <c r="O828" s="1"/>
      <c r="P828" s="1"/>
      <c r="Q828" s="1"/>
      <c r="R828" s="1"/>
      <c r="S828" s="1"/>
      <c r="T828" s="1"/>
      <c r="U828" s="1"/>
    </row>
    <row r="829" ht="15.75" customHeight="1">
      <c r="A829" s="1"/>
      <c r="B829" s="1"/>
      <c r="C829" s="1"/>
      <c r="D829" s="2"/>
      <c r="E829" s="1"/>
      <c r="F829" s="1"/>
      <c r="G829" s="1"/>
      <c r="H829" s="1"/>
      <c r="I829" s="1"/>
      <c r="J829" s="1"/>
      <c r="K829" s="1"/>
      <c r="L829" s="1"/>
      <c r="M829" s="1"/>
      <c r="N829" s="1"/>
      <c r="O829" s="1"/>
      <c r="P829" s="1"/>
      <c r="Q829" s="1"/>
      <c r="R829" s="1"/>
      <c r="S829" s="1"/>
      <c r="T829" s="1"/>
      <c r="U829" s="1"/>
    </row>
    <row r="830" ht="15.75" customHeight="1">
      <c r="A830" s="1"/>
      <c r="B830" s="1"/>
      <c r="C830" s="1"/>
      <c r="D830" s="2"/>
      <c r="E830" s="1"/>
      <c r="F830" s="1"/>
      <c r="G830" s="1"/>
      <c r="H830" s="1"/>
      <c r="I830" s="1"/>
      <c r="J830" s="1"/>
      <c r="K830" s="1"/>
      <c r="L830" s="1"/>
      <c r="M830" s="1"/>
      <c r="N830" s="1"/>
      <c r="O830" s="1"/>
      <c r="P830" s="1"/>
      <c r="Q830" s="1"/>
      <c r="R830" s="1"/>
      <c r="S830" s="1"/>
      <c r="T830" s="1"/>
      <c r="U830" s="1"/>
    </row>
    <row r="831" ht="15.75" customHeight="1">
      <c r="A831" s="1"/>
      <c r="B831" s="1"/>
      <c r="C831" s="1"/>
      <c r="D831" s="2"/>
      <c r="E831" s="1"/>
      <c r="F831" s="1"/>
      <c r="G831" s="1"/>
      <c r="H831" s="1"/>
      <c r="I831" s="1"/>
      <c r="J831" s="1"/>
      <c r="K831" s="1"/>
      <c r="L831" s="1"/>
      <c r="M831" s="1"/>
      <c r="N831" s="1"/>
      <c r="O831" s="1"/>
      <c r="P831" s="1"/>
      <c r="Q831" s="1"/>
      <c r="R831" s="1"/>
      <c r="S831" s="1"/>
      <c r="T831" s="1"/>
      <c r="U831" s="1"/>
    </row>
    <row r="832" ht="15.75" customHeight="1">
      <c r="A832" s="1"/>
      <c r="B832" s="1"/>
      <c r="C832" s="1"/>
      <c r="D832" s="2"/>
      <c r="E832" s="1"/>
      <c r="F832" s="1"/>
      <c r="G832" s="1"/>
      <c r="H832" s="1"/>
      <c r="I832" s="1"/>
      <c r="J832" s="1"/>
      <c r="K832" s="1"/>
      <c r="L832" s="1"/>
      <c r="M832" s="1"/>
      <c r="N832" s="1"/>
      <c r="O832" s="1"/>
      <c r="P832" s="1"/>
      <c r="Q832" s="1"/>
      <c r="R832" s="1"/>
      <c r="S832" s="1"/>
      <c r="T832" s="1"/>
      <c r="U832" s="1"/>
    </row>
    <row r="833" ht="15.75" customHeight="1">
      <c r="A833" s="1"/>
      <c r="B833" s="1"/>
      <c r="C833" s="1"/>
      <c r="D833" s="2"/>
      <c r="E833" s="1"/>
      <c r="F833" s="1"/>
      <c r="G833" s="1"/>
      <c r="H833" s="1"/>
      <c r="I833" s="1"/>
      <c r="J833" s="1"/>
      <c r="K833" s="1"/>
      <c r="L833" s="1"/>
      <c r="M833" s="1"/>
      <c r="N833" s="1"/>
      <c r="O833" s="1"/>
      <c r="P833" s="1"/>
      <c r="Q833" s="1"/>
      <c r="R833" s="1"/>
      <c r="S833" s="1"/>
      <c r="T833" s="1"/>
      <c r="U833" s="1"/>
    </row>
    <row r="834" ht="15.75" customHeight="1">
      <c r="A834" s="1"/>
      <c r="B834" s="1"/>
      <c r="C834" s="1"/>
      <c r="D834" s="2"/>
      <c r="E834" s="1"/>
      <c r="F834" s="1"/>
      <c r="G834" s="1"/>
      <c r="H834" s="1"/>
      <c r="I834" s="1"/>
      <c r="J834" s="1"/>
      <c r="K834" s="1"/>
      <c r="L834" s="1"/>
      <c r="M834" s="1"/>
      <c r="N834" s="1"/>
      <c r="O834" s="1"/>
      <c r="P834" s="1"/>
      <c r="Q834" s="1"/>
      <c r="R834" s="1"/>
      <c r="S834" s="1"/>
      <c r="T834" s="1"/>
      <c r="U834" s="1"/>
    </row>
    <row r="835" ht="15.75" customHeight="1">
      <c r="A835" s="1"/>
      <c r="B835" s="1"/>
      <c r="C835" s="1"/>
      <c r="D835" s="2"/>
      <c r="E835" s="1"/>
      <c r="F835" s="1"/>
      <c r="G835" s="1"/>
      <c r="H835" s="1"/>
      <c r="I835" s="1"/>
      <c r="J835" s="1"/>
      <c r="K835" s="1"/>
      <c r="L835" s="1"/>
      <c r="M835" s="1"/>
      <c r="N835" s="1"/>
      <c r="O835" s="1"/>
      <c r="P835" s="1"/>
      <c r="Q835" s="1"/>
      <c r="R835" s="1"/>
      <c r="S835" s="1"/>
      <c r="T835" s="1"/>
      <c r="U835" s="1"/>
    </row>
    <row r="836" ht="15.75" customHeight="1">
      <c r="A836" s="1"/>
      <c r="B836" s="1"/>
      <c r="C836" s="1"/>
      <c r="D836" s="2"/>
      <c r="E836" s="1"/>
      <c r="F836" s="1"/>
      <c r="G836" s="1"/>
      <c r="H836" s="1"/>
      <c r="I836" s="1"/>
      <c r="J836" s="1"/>
      <c r="K836" s="1"/>
      <c r="L836" s="1"/>
      <c r="M836" s="1"/>
      <c r="N836" s="1"/>
      <c r="O836" s="1"/>
      <c r="P836" s="1"/>
      <c r="Q836" s="1"/>
      <c r="R836" s="1"/>
      <c r="S836" s="1"/>
      <c r="T836" s="1"/>
      <c r="U836" s="1"/>
    </row>
    <row r="837" ht="15.75" customHeight="1">
      <c r="A837" s="1"/>
      <c r="B837" s="1"/>
      <c r="C837" s="1"/>
      <c r="D837" s="2"/>
      <c r="E837" s="1"/>
      <c r="F837" s="1"/>
      <c r="G837" s="1"/>
      <c r="H837" s="1"/>
      <c r="I837" s="1"/>
      <c r="J837" s="1"/>
      <c r="K837" s="1"/>
      <c r="L837" s="1"/>
      <c r="M837" s="1"/>
      <c r="N837" s="1"/>
      <c r="O837" s="1"/>
      <c r="P837" s="1"/>
      <c r="Q837" s="1"/>
      <c r="R837" s="1"/>
      <c r="S837" s="1"/>
      <c r="T837" s="1"/>
      <c r="U837" s="1"/>
    </row>
    <row r="838" ht="15.75" customHeight="1">
      <c r="A838" s="1"/>
      <c r="B838" s="1"/>
      <c r="C838" s="1"/>
      <c r="D838" s="2"/>
      <c r="E838" s="1"/>
      <c r="F838" s="1"/>
      <c r="G838" s="1"/>
      <c r="H838" s="1"/>
      <c r="I838" s="1"/>
      <c r="J838" s="1"/>
      <c r="K838" s="1"/>
      <c r="L838" s="1"/>
      <c r="M838" s="1"/>
      <c r="N838" s="1"/>
      <c r="O838" s="1"/>
      <c r="P838" s="1"/>
      <c r="Q838" s="1"/>
      <c r="R838" s="1"/>
      <c r="S838" s="1"/>
      <c r="T838" s="1"/>
      <c r="U838" s="1"/>
    </row>
    <row r="839" ht="15.75" customHeight="1">
      <c r="A839" s="1"/>
      <c r="B839" s="1"/>
      <c r="C839" s="1"/>
      <c r="D839" s="2"/>
      <c r="E839" s="1"/>
      <c r="F839" s="1"/>
      <c r="G839" s="1"/>
      <c r="H839" s="1"/>
      <c r="I839" s="1"/>
      <c r="J839" s="1"/>
      <c r="K839" s="1"/>
      <c r="L839" s="1"/>
      <c r="M839" s="1"/>
      <c r="N839" s="1"/>
      <c r="O839" s="1"/>
      <c r="P839" s="1"/>
      <c r="Q839" s="1"/>
      <c r="R839" s="1"/>
      <c r="S839" s="1"/>
      <c r="T839" s="1"/>
      <c r="U839" s="1"/>
    </row>
    <row r="840" ht="15.75" customHeight="1">
      <c r="A840" s="1"/>
      <c r="B840" s="1"/>
      <c r="C840" s="1"/>
      <c r="D840" s="2"/>
      <c r="E840" s="1"/>
      <c r="F840" s="1"/>
      <c r="G840" s="1"/>
      <c r="H840" s="1"/>
      <c r="I840" s="1"/>
      <c r="J840" s="1"/>
      <c r="K840" s="1"/>
      <c r="L840" s="1"/>
      <c r="M840" s="1"/>
      <c r="N840" s="1"/>
      <c r="O840" s="1"/>
      <c r="P840" s="1"/>
      <c r="Q840" s="1"/>
      <c r="R840" s="1"/>
      <c r="S840" s="1"/>
      <c r="T840" s="1"/>
      <c r="U840" s="1"/>
    </row>
    <row r="841" ht="15.75" customHeight="1">
      <c r="A841" s="1"/>
      <c r="B841" s="1"/>
      <c r="C841" s="1"/>
      <c r="D841" s="2"/>
      <c r="E841" s="1"/>
      <c r="F841" s="1"/>
      <c r="G841" s="1"/>
      <c r="H841" s="1"/>
      <c r="I841" s="1"/>
      <c r="J841" s="1"/>
      <c r="K841" s="1"/>
      <c r="L841" s="1"/>
      <c r="M841" s="1"/>
      <c r="N841" s="1"/>
      <c r="O841" s="1"/>
      <c r="P841" s="1"/>
      <c r="Q841" s="1"/>
      <c r="R841" s="1"/>
      <c r="S841" s="1"/>
      <c r="T841" s="1"/>
      <c r="U841" s="1"/>
    </row>
    <row r="842" ht="15.75" customHeight="1">
      <c r="A842" s="1"/>
      <c r="B842" s="1"/>
      <c r="C842" s="1"/>
      <c r="D842" s="2"/>
      <c r="E842" s="1"/>
      <c r="F842" s="1"/>
      <c r="G842" s="1"/>
      <c r="H842" s="1"/>
      <c r="I842" s="1"/>
      <c r="J842" s="1"/>
      <c r="K842" s="1"/>
      <c r="L842" s="1"/>
      <c r="M842" s="1"/>
      <c r="N842" s="1"/>
      <c r="O842" s="1"/>
      <c r="P842" s="1"/>
      <c r="Q842" s="1"/>
      <c r="R842" s="1"/>
      <c r="S842" s="1"/>
      <c r="T842" s="1"/>
      <c r="U842" s="1"/>
    </row>
    <row r="843" ht="15.75" customHeight="1">
      <c r="A843" s="1"/>
      <c r="B843" s="1"/>
      <c r="C843" s="1"/>
      <c r="D843" s="2"/>
      <c r="E843" s="1"/>
      <c r="F843" s="1"/>
      <c r="G843" s="1"/>
      <c r="H843" s="1"/>
      <c r="I843" s="1"/>
      <c r="J843" s="1"/>
      <c r="K843" s="1"/>
      <c r="L843" s="1"/>
      <c r="M843" s="1"/>
      <c r="N843" s="1"/>
      <c r="O843" s="1"/>
      <c r="P843" s="1"/>
      <c r="Q843" s="1"/>
      <c r="R843" s="1"/>
      <c r="S843" s="1"/>
      <c r="T843" s="1"/>
      <c r="U843" s="1"/>
    </row>
    <row r="844" ht="15.75" customHeight="1">
      <c r="A844" s="1"/>
      <c r="B844" s="1"/>
      <c r="C844" s="1"/>
      <c r="D844" s="2"/>
      <c r="E844" s="1"/>
      <c r="F844" s="1"/>
      <c r="G844" s="1"/>
      <c r="H844" s="1"/>
      <c r="I844" s="1"/>
      <c r="J844" s="1"/>
      <c r="K844" s="1"/>
      <c r="L844" s="1"/>
      <c r="M844" s="1"/>
      <c r="N844" s="1"/>
      <c r="O844" s="1"/>
      <c r="P844" s="1"/>
      <c r="Q844" s="1"/>
      <c r="R844" s="1"/>
      <c r="S844" s="1"/>
      <c r="T844" s="1"/>
      <c r="U844" s="1"/>
    </row>
    <row r="845" ht="15.75" customHeight="1">
      <c r="A845" s="1"/>
      <c r="B845" s="1"/>
      <c r="C845" s="1"/>
      <c r="D845" s="2"/>
      <c r="E845" s="1"/>
      <c r="F845" s="1"/>
      <c r="G845" s="1"/>
      <c r="H845" s="1"/>
      <c r="I845" s="1"/>
      <c r="J845" s="1"/>
      <c r="K845" s="1"/>
      <c r="L845" s="1"/>
      <c r="M845" s="1"/>
      <c r="N845" s="1"/>
      <c r="O845" s="1"/>
      <c r="P845" s="1"/>
      <c r="Q845" s="1"/>
      <c r="R845" s="1"/>
      <c r="S845" s="1"/>
      <c r="T845" s="1"/>
      <c r="U845" s="1"/>
    </row>
    <row r="846" ht="15.75" customHeight="1">
      <c r="A846" s="1"/>
      <c r="B846" s="1"/>
      <c r="C846" s="1"/>
      <c r="D846" s="2"/>
      <c r="E846" s="1"/>
      <c r="F846" s="1"/>
      <c r="G846" s="1"/>
      <c r="H846" s="1"/>
      <c r="I846" s="1"/>
      <c r="J846" s="1"/>
      <c r="K846" s="1"/>
      <c r="L846" s="1"/>
      <c r="M846" s="1"/>
      <c r="N846" s="1"/>
      <c r="O846" s="1"/>
      <c r="P846" s="1"/>
      <c r="Q846" s="1"/>
      <c r="R846" s="1"/>
      <c r="S846" s="1"/>
      <c r="T846" s="1"/>
      <c r="U846" s="1"/>
    </row>
    <row r="847" ht="15.75" customHeight="1">
      <c r="A847" s="1"/>
      <c r="B847" s="1"/>
      <c r="C847" s="1"/>
      <c r="D847" s="2"/>
      <c r="E847" s="1"/>
      <c r="F847" s="1"/>
      <c r="G847" s="1"/>
      <c r="H847" s="1"/>
      <c r="I847" s="1"/>
      <c r="J847" s="1"/>
      <c r="K847" s="1"/>
      <c r="L847" s="1"/>
      <c r="M847" s="1"/>
      <c r="N847" s="1"/>
      <c r="O847" s="1"/>
      <c r="P847" s="1"/>
      <c r="Q847" s="1"/>
      <c r="R847" s="1"/>
      <c r="S847" s="1"/>
      <c r="T847" s="1"/>
      <c r="U847" s="1"/>
    </row>
    <row r="848" ht="15.75" customHeight="1">
      <c r="A848" s="1"/>
      <c r="B848" s="1"/>
      <c r="C848" s="1"/>
      <c r="D848" s="2"/>
      <c r="E848" s="1"/>
      <c r="F848" s="1"/>
      <c r="G848" s="1"/>
      <c r="H848" s="1"/>
      <c r="I848" s="1"/>
      <c r="J848" s="1"/>
      <c r="K848" s="1"/>
      <c r="L848" s="1"/>
      <c r="M848" s="1"/>
      <c r="N848" s="1"/>
      <c r="O848" s="1"/>
      <c r="P848" s="1"/>
      <c r="Q848" s="1"/>
      <c r="R848" s="1"/>
      <c r="S848" s="1"/>
      <c r="T848" s="1"/>
      <c r="U848" s="1"/>
    </row>
    <row r="849" ht="15.75" customHeight="1">
      <c r="A849" s="1"/>
      <c r="B849" s="1"/>
      <c r="C849" s="1"/>
      <c r="D849" s="2"/>
      <c r="E849" s="1"/>
      <c r="F849" s="1"/>
      <c r="G849" s="1"/>
      <c r="H849" s="1"/>
      <c r="I849" s="1"/>
      <c r="J849" s="1"/>
      <c r="K849" s="1"/>
      <c r="L849" s="1"/>
      <c r="M849" s="1"/>
      <c r="N849" s="1"/>
      <c r="O849" s="1"/>
      <c r="P849" s="1"/>
      <c r="Q849" s="1"/>
      <c r="R849" s="1"/>
      <c r="S849" s="1"/>
      <c r="T849" s="1"/>
      <c r="U849" s="1"/>
    </row>
    <row r="850" ht="15.75" customHeight="1">
      <c r="A850" s="1"/>
      <c r="B850" s="1"/>
      <c r="C850" s="1"/>
      <c r="D850" s="2"/>
      <c r="E850" s="1"/>
      <c r="F850" s="1"/>
      <c r="G850" s="1"/>
      <c r="H850" s="1"/>
      <c r="I850" s="1"/>
      <c r="J850" s="1"/>
      <c r="K850" s="1"/>
      <c r="L850" s="1"/>
      <c r="M850" s="1"/>
      <c r="N850" s="1"/>
      <c r="O850" s="1"/>
      <c r="P850" s="1"/>
      <c r="Q850" s="1"/>
      <c r="R850" s="1"/>
      <c r="S850" s="1"/>
      <c r="T850" s="1"/>
      <c r="U850" s="1"/>
    </row>
    <row r="851" ht="15.75" customHeight="1">
      <c r="A851" s="1"/>
      <c r="B851" s="1"/>
      <c r="C851" s="1"/>
      <c r="D851" s="2"/>
      <c r="E851" s="1"/>
      <c r="F851" s="1"/>
      <c r="G851" s="1"/>
      <c r="H851" s="1"/>
      <c r="I851" s="1"/>
      <c r="J851" s="1"/>
      <c r="K851" s="1"/>
      <c r="L851" s="1"/>
      <c r="M851" s="1"/>
      <c r="N851" s="1"/>
      <c r="O851" s="1"/>
      <c r="P851" s="1"/>
      <c r="Q851" s="1"/>
      <c r="R851" s="1"/>
      <c r="S851" s="1"/>
      <c r="T851" s="1"/>
      <c r="U851" s="1"/>
    </row>
    <row r="852" ht="15.75" customHeight="1">
      <c r="A852" s="1"/>
      <c r="B852" s="1"/>
      <c r="C852" s="1"/>
      <c r="D852" s="2"/>
      <c r="E852" s="1"/>
      <c r="F852" s="1"/>
      <c r="G852" s="1"/>
      <c r="H852" s="1"/>
      <c r="I852" s="1"/>
      <c r="J852" s="1"/>
      <c r="K852" s="1"/>
      <c r="L852" s="1"/>
      <c r="M852" s="1"/>
      <c r="N852" s="1"/>
      <c r="O852" s="1"/>
      <c r="P852" s="1"/>
      <c r="Q852" s="1"/>
      <c r="R852" s="1"/>
      <c r="S852" s="1"/>
      <c r="T852" s="1"/>
      <c r="U852" s="1"/>
    </row>
    <row r="853" ht="15.75" customHeight="1">
      <c r="A853" s="1"/>
      <c r="B853" s="1"/>
      <c r="C853" s="1"/>
      <c r="D853" s="2"/>
      <c r="E853" s="1"/>
      <c r="F853" s="1"/>
      <c r="G853" s="1"/>
      <c r="H853" s="1"/>
      <c r="I853" s="1"/>
      <c r="J853" s="1"/>
      <c r="K853" s="1"/>
      <c r="L853" s="1"/>
      <c r="M853" s="1"/>
      <c r="N853" s="1"/>
      <c r="O853" s="1"/>
      <c r="P853" s="1"/>
      <c r="Q853" s="1"/>
      <c r="R853" s="1"/>
      <c r="S853" s="1"/>
      <c r="T853" s="1"/>
      <c r="U853" s="1"/>
    </row>
    <row r="854" ht="15.75" customHeight="1">
      <c r="A854" s="1"/>
      <c r="B854" s="1"/>
      <c r="C854" s="1"/>
      <c r="D854" s="2"/>
      <c r="E854" s="1"/>
      <c r="F854" s="1"/>
      <c r="G854" s="1"/>
      <c r="H854" s="1"/>
      <c r="I854" s="1"/>
      <c r="J854" s="1"/>
      <c r="K854" s="1"/>
      <c r="L854" s="1"/>
      <c r="M854" s="1"/>
      <c r="N854" s="1"/>
      <c r="O854" s="1"/>
      <c r="P854" s="1"/>
      <c r="Q854" s="1"/>
      <c r="R854" s="1"/>
      <c r="S854" s="1"/>
      <c r="T854" s="1"/>
      <c r="U854" s="1"/>
    </row>
    <row r="855" ht="15.75" customHeight="1">
      <c r="A855" s="1"/>
      <c r="B855" s="1"/>
      <c r="C855" s="1"/>
      <c r="D855" s="2"/>
      <c r="E855" s="1"/>
      <c r="F855" s="1"/>
      <c r="G855" s="1"/>
      <c r="H855" s="1"/>
      <c r="I855" s="1"/>
      <c r="J855" s="1"/>
      <c r="K855" s="1"/>
      <c r="L855" s="1"/>
      <c r="M855" s="1"/>
      <c r="N855" s="1"/>
      <c r="O855" s="1"/>
      <c r="P855" s="1"/>
      <c r="Q855" s="1"/>
      <c r="R855" s="1"/>
      <c r="S855" s="1"/>
      <c r="T855" s="1"/>
      <c r="U855" s="1"/>
    </row>
    <row r="856" ht="15.75" customHeight="1">
      <c r="A856" s="1"/>
      <c r="B856" s="1"/>
      <c r="C856" s="1"/>
      <c r="D856" s="2"/>
      <c r="E856" s="1"/>
      <c r="F856" s="1"/>
      <c r="G856" s="1"/>
      <c r="H856" s="1"/>
      <c r="I856" s="1"/>
      <c r="J856" s="1"/>
      <c r="K856" s="1"/>
      <c r="L856" s="1"/>
      <c r="M856" s="1"/>
      <c r="N856" s="1"/>
      <c r="O856" s="1"/>
      <c r="P856" s="1"/>
      <c r="Q856" s="1"/>
      <c r="R856" s="1"/>
      <c r="S856" s="1"/>
      <c r="T856" s="1"/>
      <c r="U856" s="1"/>
    </row>
    <row r="857" ht="15.75" customHeight="1">
      <c r="A857" s="1"/>
      <c r="B857" s="1"/>
      <c r="C857" s="1"/>
      <c r="D857" s="2"/>
      <c r="E857" s="1"/>
      <c r="F857" s="1"/>
      <c r="G857" s="1"/>
      <c r="H857" s="1"/>
      <c r="I857" s="1"/>
      <c r="J857" s="1"/>
      <c r="K857" s="1"/>
      <c r="L857" s="1"/>
      <c r="M857" s="1"/>
      <c r="N857" s="1"/>
      <c r="O857" s="1"/>
      <c r="P857" s="1"/>
      <c r="Q857" s="1"/>
      <c r="R857" s="1"/>
      <c r="S857" s="1"/>
      <c r="T857" s="1"/>
      <c r="U857" s="1"/>
    </row>
    <row r="858" ht="15.75" customHeight="1">
      <c r="A858" s="1"/>
      <c r="B858" s="1"/>
      <c r="C858" s="1"/>
      <c r="D858" s="2"/>
      <c r="E858" s="1"/>
      <c r="F858" s="1"/>
      <c r="G858" s="1"/>
      <c r="H858" s="1"/>
      <c r="I858" s="1"/>
      <c r="J858" s="1"/>
      <c r="K858" s="1"/>
      <c r="L858" s="1"/>
      <c r="M858" s="1"/>
      <c r="N858" s="1"/>
      <c r="O858" s="1"/>
      <c r="P858" s="1"/>
      <c r="Q858" s="1"/>
      <c r="R858" s="1"/>
      <c r="S858" s="1"/>
      <c r="T858" s="1"/>
      <c r="U858" s="1"/>
    </row>
    <row r="859" ht="15.75" customHeight="1">
      <c r="A859" s="1"/>
      <c r="B859" s="1"/>
      <c r="C859" s="1"/>
      <c r="D859" s="2"/>
      <c r="E859" s="1"/>
      <c r="F859" s="1"/>
      <c r="G859" s="1"/>
      <c r="H859" s="1"/>
      <c r="I859" s="1"/>
      <c r="J859" s="1"/>
      <c r="K859" s="1"/>
      <c r="L859" s="1"/>
      <c r="M859" s="1"/>
      <c r="N859" s="1"/>
      <c r="O859" s="1"/>
      <c r="P859" s="1"/>
      <c r="Q859" s="1"/>
      <c r="R859" s="1"/>
      <c r="S859" s="1"/>
      <c r="T859" s="1"/>
      <c r="U859" s="1"/>
    </row>
    <row r="860" ht="15.75" customHeight="1">
      <c r="A860" s="1"/>
      <c r="B860" s="1"/>
      <c r="C860" s="1"/>
      <c r="D860" s="2"/>
      <c r="E860" s="1"/>
      <c r="F860" s="1"/>
      <c r="G860" s="1"/>
      <c r="H860" s="1"/>
      <c r="I860" s="1"/>
      <c r="J860" s="1"/>
      <c r="K860" s="1"/>
      <c r="L860" s="1"/>
      <c r="M860" s="1"/>
      <c r="N860" s="1"/>
      <c r="O860" s="1"/>
      <c r="P860" s="1"/>
      <c r="Q860" s="1"/>
      <c r="R860" s="1"/>
      <c r="S860" s="1"/>
      <c r="T860" s="1"/>
      <c r="U860" s="1"/>
    </row>
    <row r="861" ht="15.75" customHeight="1">
      <c r="A861" s="1"/>
      <c r="B861" s="1"/>
      <c r="C861" s="1"/>
      <c r="D861" s="2"/>
      <c r="E861" s="1"/>
      <c r="F861" s="1"/>
      <c r="G861" s="1"/>
      <c r="H861" s="1"/>
      <c r="I861" s="1"/>
      <c r="J861" s="1"/>
      <c r="K861" s="1"/>
      <c r="L861" s="1"/>
      <c r="M861" s="1"/>
      <c r="N861" s="1"/>
      <c r="O861" s="1"/>
      <c r="P861" s="1"/>
      <c r="Q861" s="1"/>
      <c r="R861" s="1"/>
      <c r="S861" s="1"/>
      <c r="T861" s="1"/>
      <c r="U861" s="1"/>
    </row>
    <row r="862" ht="15.75" customHeight="1">
      <c r="A862" s="1"/>
      <c r="B862" s="1"/>
      <c r="C862" s="1"/>
      <c r="D862" s="2"/>
      <c r="E862" s="1"/>
      <c r="F862" s="1"/>
      <c r="G862" s="1"/>
      <c r="H862" s="1"/>
      <c r="I862" s="1"/>
      <c r="J862" s="1"/>
      <c r="K862" s="1"/>
      <c r="L862" s="1"/>
      <c r="M862" s="1"/>
      <c r="N862" s="1"/>
      <c r="O862" s="1"/>
      <c r="P862" s="1"/>
      <c r="Q862" s="1"/>
      <c r="R862" s="1"/>
      <c r="S862" s="1"/>
      <c r="T862" s="1"/>
      <c r="U862" s="1"/>
    </row>
    <row r="863" ht="15.75" customHeight="1">
      <c r="A863" s="1"/>
      <c r="B863" s="1"/>
      <c r="C863" s="1"/>
      <c r="D863" s="2"/>
      <c r="E863" s="1"/>
      <c r="F863" s="1"/>
      <c r="G863" s="1"/>
      <c r="H863" s="1"/>
      <c r="I863" s="1"/>
      <c r="J863" s="1"/>
      <c r="K863" s="1"/>
      <c r="L863" s="1"/>
      <c r="M863" s="1"/>
      <c r="N863" s="1"/>
      <c r="O863" s="1"/>
      <c r="P863" s="1"/>
      <c r="Q863" s="1"/>
      <c r="R863" s="1"/>
      <c r="S863" s="1"/>
      <c r="T863" s="1"/>
      <c r="U863" s="1"/>
    </row>
    <row r="864" ht="15.75" customHeight="1">
      <c r="A864" s="1"/>
      <c r="B864" s="1"/>
      <c r="C864" s="1"/>
      <c r="D864" s="2"/>
      <c r="E864" s="1"/>
      <c r="F864" s="1"/>
      <c r="G864" s="1"/>
      <c r="H864" s="1"/>
      <c r="I864" s="1"/>
      <c r="J864" s="1"/>
      <c r="K864" s="1"/>
      <c r="L864" s="1"/>
      <c r="M864" s="1"/>
      <c r="N864" s="1"/>
      <c r="O864" s="1"/>
      <c r="P864" s="1"/>
      <c r="Q864" s="1"/>
      <c r="R864" s="1"/>
      <c r="S864" s="1"/>
      <c r="T864" s="1"/>
      <c r="U864" s="1"/>
    </row>
    <row r="865" ht="15.75" customHeight="1">
      <c r="A865" s="1"/>
      <c r="B865" s="1"/>
      <c r="C865" s="1"/>
      <c r="D865" s="2"/>
      <c r="E865" s="1"/>
      <c r="F865" s="1"/>
      <c r="G865" s="1"/>
      <c r="H865" s="1"/>
      <c r="I865" s="1"/>
      <c r="J865" s="1"/>
      <c r="K865" s="1"/>
      <c r="L865" s="1"/>
      <c r="M865" s="1"/>
      <c r="N865" s="1"/>
      <c r="O865" s="1"/>
      <c r="P865" s="1"/>
      <c r="Q865" s="1"/>
      <c r="R865" s="1"/>
      <c r="S865" s="1"/>
      <c r="T865" s="1"/>
      <c r="U865" s="1"/>
    </row>
    <row r="866" ht="15.75" customHeight="1">
      <c r="A866" s="1"/>
      <c r="B866" s="1"/>
      <c r="C866" s="1"/>
      <c r="D866" s="2"/>
      <c r="E866" s="1"/>
      <c r="F866" s="1"/>
      <c r="G866" s="1"/>
      <c r="H866" s="1"/>
      <c r="I866" s="1"/>
      <c r="J866" s="1"/>
      <c r="K866" s="1"/>
      <c r="L866" s="1"/>
      <c r="M866" s="1"/>
      <c r="N866" s="1"/>
      <c r="O866" s="1"/>
      <c r="P866" s="1"/>
      <c r="Q866" s="1"/>
      <c r="R866" s="1"/>
      <c r="S866" s="1"/>
      <c r="T866" s="1"/>
      <c r="U866" s="1"/>
    </row>
    <row r="867" ht="15.75" customHeight="1">
      <c r="A867" s="1"/>
      <c r="B867" s="1"/>
      <c r="C867" s="1"/>
      <c r="D867" s="2"/>
      <c r="E867" s="1"/>
      <c r="F867" s="1"/>
      <c r="G867" s="1"/>
      <c r="H867" s="1"/>
      <c r="I867" s="1"/>
      <c r="J867" s="1"/>
      <c r="K867" s="1"/>
      <c r="L867" s="1"/>
      <c r="M867" s="1"/>
      <c r="N867" s="1"/>
      <c r="O867" s="1"/>
      <c r="P867" s="1"/>
      <c r="Q867" s="1"/>
      <c r="R867" s="1"/>
      <c r="S867" s="1"/>
      <c r="T867" s="1"/>
      <c r="U867" s="1"/>
    </row>
    <row r="868" ht="15.75" customHeight="1">
      <c r="A868" s="1"/>
      <c r="B868" s="1"/>
      <c r="C868" s="1"/>
      <c r="D868" s="2"/>
      <c r="E868" s="1"/>
      <c r="F868" s="1"/>
      <c r="G868" s="1"/>
      <c r="H868" s="1"/>
      <c r="I868" s="1"/>
      <c r="J868" s="1"/>
      <c r="K868" s="1"/>
      <c r="L868" s="1"/>
      <c r="M868" s="1"/>
      <c r="N868" s="1"/>
      <c r="O868" s="1"/>
      <c r="P868" s="1"/>
      <c r="Q868" s="1"/>
      <c r="R868" s="1"/>
      <c r="S868" s="1"/>
      <c r="T868" s="1"/>
      <c r="U868" s="1"/>
    </row>
    <row r="869" ht="15.75" customHeight="1">
      <c r="A869" s="1"/>
      <c r="B869" s="1"/>
      <c r="C869" s="1"/>
      <c r="D869" s="2"/>
      <c r="E869" s="1"/>
      <c r="F869" s="1"/>
      <c r="G869" s="1"/>
      <c r="H869" s="1"/>
      <c r="I869" s="1"/>
      <c r="J869" s="1"/>
      <c r="K869" s="1"/>
      <c r="L869" s="1"/>
      <c r="M869" s="1"/>
      <c r="N869" s="1"/>
      <c r="O869" s="1"/>
      <c r="P869" s="1"/>
      <c r="Q869" s="1"/>
      <c r="R869" s="1"/>
      <c r="S869" s="1"/>
      <c r="T869" s="1"/>
      <c r="U869" s="1"/>
    </row>
    <row r="870" ht="15.75" customHeight="1">
      <c r="A870" s="1"/>
      <c r="B870" s="1"/>
      <c r="C870" s="1"/>
      <c r="D870" s="2"/>
      <c r="E870" s="1"/>
      <c r="F870" s="1"/>
      <c r="G870" s="1"/>
      <c r="H870" s="1"/>
      <c r="I870" s="1"/>
      <c r="J870" s="1"/>
      <c r="K870" s="1"/>
      <c r="L870" s="1"/>
      <c r="M870" s="1"/>
      <c r="N870" s="1"/>
      <c r="O870" s="1"/>
      <c r="P870" s="1"/>
      <c r="Q870" s="1"/>
      <c r="R870" s="1"/>
      <c r="S870" s="1"/>
      <c r="T870" s="1"/>
      <c r="U870" s="1"/>
    </row>
    <row r="871" ht="15.75" customHeight="1">
      <c r="A871" s="1"/>
      <c r="B871" s="1"/>
      <c r="C871" s="1"/>
      <c r="D871" s="2"/>
      <c r="E871" s="1"/>
      <c r="F871" s="1"/>
      <c r="G871" s="1"/>
      <c r="H871" s="1"/>
      <c r="I871" s="1"/>
      <c r="J871" s="1"/>
      <c r="K871" s="1"/>
      <c r="L871" s="1"/>
      <c r="M871" s="1"/>
      <c r="N871" s="1"/>
      <c r="O871" s="1"/>
      <c r="P871" s="1"/>
      <c r="Q871" s="1"/>
      <c r="R871" s="1"/>
      <c r="S871" s="1"/>
      <c r="T871" s="1"/>
      <c r="U871" s="1"/>
    </row>
    <row r="872" ht="15.75" customHeight="1">
      <c r="A872" s="1"/>
      <c r="B872" s="1"/>
      <c r="C872" s="1"/>
      <c r="D872" s="2"/>
      <c r="E872" s="1"/>
      <c r="F872" s="1"/>
      <c r="G872" s="1"/>
      <c r="H872" s="1"/>
      <c r="I872" s="1"/>
      <c r="J872" s="1"/>
      <c r="K872" s="1"/>
      <c r="L872" s="1"/>
      <c r="M872" s="1"/>
      <c r="N872" s="1"/>
      <c r="O872" s="1"/>
      <c r="P872" s="1"/>
      <c r="Q872" s="1"/>
      <c r="R872" s="1"/>
      <c r="S872" s="1"/>
      <c r="T872" s="1"/>
      <c r="U872" s="1"/>
    </row>
    <row r="873" ht="15.75" customHeight="1">
      <c r="A873" s="1"/>
      <c r="B873" s="1"/>
      <c r="C873" s="1"/>
      <c r="D873" s="2"/>
      <c r="E873" s="1"/>
      <c r="F873" s="1"/>
      <c r="G873" s="1"/>
      <c r="H873" s="1"/>
      <c r="I873" s="1"/>
      <c r="J873" s="1"/>
      <c r="K873" s="1"/>
      <c r="L873" s="1"/>
      <c r="M873" s="1"/>
      <c r="N873" s="1"/>
      <c r="O873" s="1"/>
      <c r="P873" s="1"/>
      <c r="Q873" s="1"/>
      <c r="R873" s="1"/>
      <c r="S873" s="1"/>
      <c r="T873" s="1"/>
      <c r="U873" s="1"/>
    </row>
    <row r="874" ht="15.75" customHeight="1">
      <c r="A874" s="1"/>
      <c r="B874" s="1"/>
      <c r="C874" s="1"/>
      <c r="D874" s="2"/>
      <c r="E874" s="1"/>
      <c r="F874" s="1"/>
      <c r="G874" s="1"/>
      <c r="H874" s="1"/>
      <c r="I874" s="1"/>
      <c r="J874" s="1"/>
      <c r="K874" s="1"/>
      <c r="L874" s="1"/>
      <c r="M874" s="1"/>
      <c r="N874" s="1"/>
      <c r="O874" s="1"/>
      <c r="P874" s="1"/>
      <c r="Q874" s="1"/>
      <c r="R874" s="1"/>
      <c r="S874" s="1"/>
      <c r="T874" s="1"/>
      <c r="U874" s="1"/>
    </row>
    <row r="875" ht="15.75" customHeight="1">
      <c r="A875" s="1"/>
      <c r="B875" s="1"/>
      <c r="C875" s="1"/>
      <c r="D875" s="2"/>
      <c r="E875" s="1"/>
      <c r="F875" s="1"/>
      <c r="G875" s="1"/>
      <c r="H875" s="1"/>
      <c r="I875" s="1"/>
      <c r="J875" s="1"/>
      <c r="K875" s="1"/>
      <c r="L875" s="1"/>
      <c r="M875" s="1"/>
      <c r="N875" s="1"/>
      <c r="O875" s="1"/>
      <c r="P875" s="1"/>
      <c r="Q875" s="1"/>
      <c r="R875" s="1"/>
      <c r="S875" s="1"/>
      <c r="T875" s="1"/>
      <c r="U875" s="1"/>
    </row>
    <row r="876" ht="15.75" customHeight="1">
      <c r="A876" s="1"/>
      <c r="B876" s="1"/>
      <c r="C876" s="1"/>
      <c r="D876" s="2"/>
      <c r="E876" s="1"/>
      <c r="F876" s="1"/>
      <c r="G876" s="1"/>
      <c r="H876" s="1"/>
      <c r="I876" s="1"/>
      <c r="J876" s="1"/>
      <c r="K876" s="1"/>
      <c r="L876" s="1"/>
      <c r="M876" s="1"/>
      <c r="N876" s="1"/>
      <c r="O876" s="1"/>
      <c r="P876" s="1"/>
      <c r="Q876" s="1"/>
      <c r="R876" s="1"/>
      <c r="S876" s="1"/>
      <c r="T876" s="1"/>
      <c r="U876" s="1"/>
    </row>
    <row r="877" ht="15.75" customHeight="1">
      <c r="A877" s="1"/>
      <c r="B877" s="1"/>
      <c r="C877" s="1"/>
      <c r="D877" s="2"/>
      <c r="E877" s="1"/>
      <c r="F877" s="1"/>
      <c r="G877" s="1"/>
      <c r="H877" s="1"/>
      <c r="I877" s="1"/>
      <c r="J877" s="1"/>
      <c r="K877" s="1"/>
      <c r="L877" s="1"/>
      <c r="M877" s="1"/>
      <c r="N877" s="1"/>
      <c r="O877" s="1"/>
      <c r="P877" s="1"/>
      <c r="Q877" s="1"/>
      <c r="R877" s="1"/>
      <c r="S877" s="1"/>
      <c r="T877" s="1"/>
      <c r="U877" s="1"/>
    </row>
    <row r="878" ht="15.75" customHeight="1">
      <c r="A878" s="1"/>
      <c r="B878" s="1"/>
      <c r="C878" s="1"/>
      <c r="D878" s="2"/>
      <c r="E878" s="1"/>
      <c r="F878" s="1"/>
      <c r="G878" s="1"/>
      <c r="H878" s="1"/>
      <c r="I878" s="1"/>
      <c r="J878" s="1"/>
      <c r="K878" s="1"/>
      <c r="L878" s="1"/>
      <c r="M878" s="1"/>
      <c r="N878" s="1"/>
      <c r="O878" s="1"/>
      <c r="P878" s="1"/>
      <c r="Q878" s="1"/>
      <c r="R878" s="1"/>
      <c r="S878" s="1"/>
      <c r="T878" s="1"/>
      <c r="U878" s="1"/>
    </row>
    <row r="879" ht="15.75" customHeight="1">
      <c r="A879" s="1"/>
      <c r="B879" s="1"/>
      <c r="C879" s="1"/>
      <c r="D879" s="2"/>
      <c r="E879" s="1"/>
      <c r="F879" s="1"/>
      <c r="G879" s="1"/>
      <c r="H879" s="1"/>
      <c r="I879" s="1"/>
      <c r="J879" s="1"/>
      <c r="K879" s="1"/>
      <c r="L879" s="1"/>
      <c r="M879" s="1"/>
      <c r="N879" s="1"/>
      <c r="O879" s="1"/>
      <c r="P879" s="1"/>
      <c r="Q879" s="1"/>
      <c r="R879" s="1"/>
      <c r="S879" s="1"/>
      <c r="T879" s="1"/>
      <c r="U879" s="1"/>
    </row>
    <row r="880" ht="15.75" customHeight="1">
      <c r="A880" s="1"/>
      <c r="B880" s="1"/>
      <c r="C880" s="1"/>
      <c r="D880" s="2"/>
      <c r="E880" s="1"/>
      <c r="F880" s="1"/>
      <c r="G880" s="1"/>
      <c r="H880" s="1"/>
      <c r="I880" s="1"/>
      <c r="J880" s="1"/>
      <c r="K880" s="1"/>
      <c r="L880" s="1"/>
      <c r="M880" s="1"/>
      <c r="N880" s="1"/>
      <c r="O880" s="1"/>
      <c r="P880" s="1"/>
      <c r="Q880" s="1"/>
      <c r="R880" s="1"/>
      <c r="S880" s="1"/>
      <c r="T880" s="1"/>
      <c r="U880" s="1"/>
    </row>
    <row r="881" ht="15.75" customHeight="1">
      <c r="A881" s="1"/>
      <c r="B881" s="1"/>
      <c r="C881" s="1"/>
      <c r="D881" s="2"/>
      <c r="E881" s="1"/>
      <c r="F881" s="1"/>
      <c r="G881" s="1"/>
      <c r="H881" s="1"/>
      <c r="I881" s="1"/>
      <c r="J881" s="1"/>
      <c r="K881" s="1"/>
      <c r="L881" s="1"/>
      <c r="M881" s="1"/>
      <c r="N881" s="1"/>
      <c r="O881" s="1"/>
      <c r="P881" s="1"/>
      <c r="Q881" s="1"/>
      <c r="R881" s="1"/>
      <c r="S881" s="1"/>
      <c r="T881" s="1"/>
      <c r="U881" s="1"/>
    </row>
    <row r="882" ht="15.75" customHeight="1">
      <c r="A882" s="1"/>
      <c r="B882" s="1"/>
      <c r="C882" s="1"/>
      <c r="D882" s="2"/>
      <c r="E882" s="1"/>
      <c r="F882" s="1"/>
      <c r="G882" s="1"/>
      <c r="H882" s="1"/>
      <c r="I882" s="1"/>
      <c r="J882" s="1"/>
      <c r="K882" s="1"/>
      <c r="L882" s="1"/>
      <c r="M882" s="1"/>
      <c r="N882" s="1"/>
      <c r="O882" s="1"/>
      <c r="P882" s="1"/>
      <c r="Q882" s="1"/>
      <c r="R882" s="1"/>
      <c r="S882" s="1"/>
      <c r="T882" s="1"/>
      <c r="U882" s="1"/>
    </row>
    <row r="883" ht="15.75" customHeight="1">
      <c r="A883" s="1"/>
      <c r="B883" s="1"/>
      <c r="C883" s="1"/>
      <c r="D883" s="2"/>
      <c r="E883" s="1"/>
      <c r="F883" s="1"/>
      <c r="G883" s="1"/>
      <c r="H883" s="1"/>
      <c r="I883" s="1"/>
      <c r="J883" s="1"/>
      <c r="K883" s="1"/>
      <c r="L883" s="1"/>
      <c r="M883" s="1"/>
      <c r="N883" s="1"/>
      <c r="O883" s="1"/>
      <c r="P883" s="1"/>
      <c r="Q883" s="1"/>
      <c r="R883" s="1"/>
      <c r="S883" s="1"/>
      <c r="T883" s="1"/>
      <c r="U883" s="1"/>
    </row>
    <row r="884" ht="15.75" customHeight="1">
      <c r="A884" s="1"/>
      <c r="B884" s="1"/>
      <c r="C884" s="1"/>
      <c r="D884" s="2"/>
      <c r="E884" s="1"/>
      <c r="F884" s="1"/>
      <c r="G884" s="1"/>
      <c r="H884" s="1"/>
      <c r="I884" s="1"/>
      <c r="J884" s="1"/>
      <c r="K884" s="1"/>
      <c r="L884" s="1"/>
      <c r="M884" s="1"/>
      <c r="N884" s="1"/>
      <c r="O884" s="1"/>
      <c r="P884" s="1"/>
      <c r="Q884" s="1"/>
      <c r="R884" s="1"/>
      <c r="S884" s="1"/>
      <c r="T884" s="1"/>
      <c r="U884" s="1"/>
    </row>
    <row r="885" ht="15.75" customHeight="1">
      <c r="A885" s="1"/>
      <c r="B885" s="1"/>
      <c r="C885" s="1"/>
      <c r="D885" s="2"/>
      <c r="E885" s="1"/>
      <c r="F885" s="1"/>
      <c r="G885" s="1"/>
      <c r="H885" s="1"/>
      <c r="I885" s="1"/>
      <c r="J885" s="1"/>
      <c r="K885" s="1"/>
      <c r="L885" s="1"/>
      <c r="M885" s="1"/>
      <c r="N885" s="1"/>
      <c r="O885" s="1"/>
      <c r="P885" s="1"/>
      <c r="Q885" s="1"/>
      <c r="R885" s="1"/>
      <c r="S885" s="1"/>
      <c r="T885" s="1"/>
      <c r="U885" s="1"/>
    </row>
    <row r="886" ht="15.75" customHeight="1">
      <c r="A886" s="1"/>
      <c r="B886" s="1"/>
      <c r="C886" s="1"/>
      <c r="D886" s="2"/>
      <c r="E886" s="1"/>
      <c r="F886" s="1"/>
      <c r="G886" s="1"/>
      <c r="H886" s="1"/>
      <c r="I886" s="1"/>
      <c r="J886" s="1"/>
      <c r="K886" s="1"/>
      <c r="L886" s="1"/>
      <c r="M886" s="1"/>
      <c r="N886" s="1"/>
      <c r="O886" s="1"/>
      <c r="P886" s="1"/>
      <c r="Q886" s="1"/>
      <c r="R886" s="1"/>
      <c r="S886" s="1"/>
      <c r="T886" s="1"/>
      <c r="U886" s="1"/>
    </row>
    <row r="887" ht="15.75" customHeight="1">
      <c r="A887" s="1"/>
      <c r="B887" s="1"/>
      <c r="C887" s="1"/>
      <c r="D887" s="2"/>
      <c r="E887" s="1"/>
      <c r="F887" s="1"/>
      <c r="G887" s="1"/>
      <c r="H887" s="1"/>
      <c r="I887" s="1"/>
      <c r="J887" s="1"/>
      <c r="K887" s="1"/>
      <c r="L887" s="1"/>
      <c r="M887" s="1"/>
      <c r="N887" s="1"/>
      <c r="O887" s="1"/>
      <c r="P887" s="1"/>
      <c r="Q887" s="1"/>
      <c r="R887" s="1"/>
      <c r="S887" s="1"/>
      <c r="T887" s="1"/>
      <c r="U887" s="1"/>
    </row>
    <row r="888" ht="15.75" customHeight="1">
      <c r="A888" s="1"/>
      <c r="B888" s="1"/>
      <c r="C888" s="1"/>
      <c r="D888" s="2"/>
      <c r="E888" s="1"/>
      <c r="F888" s="1"/>
      <c r="G888" s="1"/>
      <c r="H888" s="1"/>
      <c r="I888" s="1"/>
      <c r="J888" s="1"/>
      <c r="K888" s="1"/>
      <c r="L888" s="1"/>
      <c r="M888" s="1"/>
      <c r="N888" s="1"/>
      <c r="O888" s="1"/>
      <c r="P888" s="1"/>
      <c r="Q888" s="1"/>
      <c r="R888" s="1"/>
      <c r="S888" s="1"/>
      <c r="T888" s="1"/>
      <c r="U888" s="1"/>
    </row>
    <row r="889" ht="15.75" customHeight="1">
      <c r="A889" s="1"/>
      <c r="B889" s="1"/>
      <c r="C889" s="1"/>
      <c r="D889" s="2"/>
      <c r="E889" s="1"/>
      <c r="F889" s="1"/>
      <c r="G889" s="1"/>
      <c r="H889" s="1"/>
      <c r="I889" s="1"/>
      <c r="J889" s="1"/>
      <c r="K889" s="1"/>
      <c r="L889" s="1"/>
      <c r="M889" s="1"/>
      <c r="N889" s="1"/>
      <c r="O889" s="1"/>
      <c r="P889" s="1"/>
      <c r="Q889" s="1"/>
      <c r="R889" s="1"/>
      <c r="S889" s="1"/>
      <c r="T889" s="1"/>
      <c r="U889" s="1"/>
    </row>
    <row r="890" ht="15.75" customHeight="1">
      <c r="A890" s="1"/>
      <c r="B890" s="1"/>
      <c r="C890" s="1"/>
      <c r="D890" s="2"/>
      <c r="E890" s="1"/>
      <c r="F890" s="1"/>
      <c r="G890" s="1"/>
      <c r="H890" s="1"/>
      <c r="I890" s="1"/>
      <c r="J890" s="1"/>
      <c r="K890" s="1"/>
      <c r="L890" s="1"/>
      <c r="M890" s="1"/>
      <c r="N890" s="1"/>
      <c r="O890" s="1"/>
      <c r="P890" s="1"/>
      <c r="Q890" s="1"/>
      <c r="R890" s="1"/>
      <c r="S890" s="1"/>
      <c r="T890" s="1"/>
      <c r="U890" s="1"/>
    </row>
    <row r="891" ht="15.75" customHeight="1">
      <c r="A891" s="1"/>
      <c r="B891" s="1"/>
      <c r="C891" s="1"/>
      <c r="D891" s="2"/>
      <c r="E891" s="1"/>
      <c r="F891" s="1"/>
      <c r="G891" s="1"/>
      <c r="H891" s="1"/>
      <c r="I891" s="1"/>
      <c r="J891" s="1"/>
      <c r="K891" s="1"/>
      <c r="L891" s="1"/>
      <c r="M891" s="1"/>
      <c r="N891" s="1"/>
      <c r="O891" s="1"/>
      <c r="P891" s="1"/>
      <c r="Q891" s="1"/>
      <c r="R891" s="1"/>
      <c r="S891" s="1"/>
      <c r="T891" s="1"/>
      <c r="U891" s="1"/>
    </row>
    <row r="892" ht="15.75" customHeight="1">
      <c r="A892" s="1"/>
      <c r="B892" s="1"/>
      <c r="C892" s="1"/>
      <c r="D892" s="2"/>
      <c r="E892" s="1"/>
      <c r="F892" s="1"/>
      <c r="G892" s="1"/>
      <c r="H892" s="1"/>
      <c r="I892" s="1"/>
      <c r="J892" s="1"/>
      <c r="K892" s="1"/>
      <c r="L892" s="1"/>
      <c r="M892" s="1"/>
      <c r="N892" s="1"/>
      <c r="O892" s="1"/>
      <c r="P892" s="1"/>
      <c r="Q892" s="1"/>
      <c r="R892" s="1"/>
      <c r="S892" s="1"/>
      <c r="T892" s="1"/>
      <c r="U892" s="1"/>
    </row>
    <row r="893" ht="15.75" customHeight="1">
      <c r="A893" s="1"/>
      <c r="B893" s="1"/>
      <c r="C893" s="1"/>
      <c r="D893" s="2"/>
      <c r="E893" s="1"/>
      <c r="F893" s="1"/>
      <c r="G893" s="1"/>
      <c r="H893" s="1"/>
      <c r="I893" s="1"/>
      <c r="J893" s="1"/>
      <c r="K893" s="1"/>
      <c r="L893" s="1"/>
      <c r="M893" s="1"/>
      <c r="N893" s="1"/>
      <c r="O893" s="1"/>
      <c r="P893" s="1"/>
      <c r="Q893" s="1"/>
      <c r="R893" s="1"/>
      <c r="S893" s="1"/>
      <c r="T893" s="1"/>
      <c r="U893" s="1"/>
    </row>
    <row r="894" ht="15.75" customHeight="1">
      <c r="A894" s="1"/>
      <c r="B894" s="1"/>
      <c r="C894" s="1"/>
      <c r="D894" s="2"/>
      <c r="E894" s="1"/>
      <c r="F894" s="1"/>
      <c r="G894" s="1"/>
      <c r="H894" s="1"/>
      <c r="I894" s="1"/>
      <c r="J894" s="1"/>
      <c r="K894" s="1"/>
      <c r="L894" s="1"/>
      <c r="M894" s="1"/>
      <c r="N894" s="1"/>
      <c r="O894" s="1"/>
      <c r="P894" s="1"/>
      <c r="Q894" s="1"/>
      <c r="R894" s="1"/>
      <c r="S894" s="1"/>
      <c r="T894" s="1"/>
      <c r="U894" s="1"/>
    </row>
    <row r="895" ht="15.75" customHeight="1">
      <c r="A895" s="1"/>
      <c r="B895" s="1"/>
      <c r="C895" s="1"/>
      <c r="D895" s="2"/>
      <c r="E895" s="1"/>
      <c r="F895" s="1"/>
      <c r="G895" s="1"/>
      <c r="H895" s="1"/>
      <c r="I895" s="1"/>
      <c r="J895" s="1"/>
      <c r="K895" s="1"/>
      <c r="L895" s="1"/>
      <c r="M895" s="1"/>
      <c r="N895" s="1"/>
      <c r="O895" s="1"/>
      <c r="P895" s="1"/>
      <c r="Q895" s="1"/>
      <c r="R895" s="1"/>
      <c r="S895" s="1"/>
      <c r="T895" s="1"/>
      <c r="U895" s="1"/>
    </row>
    <row r="896" ht="15.75" customHeight="1">
      <c r="A896" s="1"/>
      <c r="B896" s="1"/>
      <c r="C896" s="1"/>
      <c r="D896" s="2"/>
      <c r="E896" s="1"/>
      <c r="F896" s="1"/>
      <c r="G896" s="1"/>
      <c r="H896" s="1"/>
      <c r="I896" s="1"/>
      <c r="J896" s="1"/>
      <c r="K896" s="1"/>
      <c r="L896" s="1"/>
      <c r="M896" s="1"/>
      <c r="N896" s="1"/>
      <c r="O896" s="1"/>
      <c r="P896" s="1"/>
      <c r="Q896" s="1"/>
      <c r="R896" s="1"/>
      <c r="S896" s="1"/>
      <c r="T896" s="1"/>
      <c r="U896" s="1"/>
    </row>
    <row r="897" ht="15.75" customHeight="1">
      <c r="A897" s="1"/>
      <c r="B897" s="1"/>
      <c r="C897" s="1"/>
      <c r="D897" s="2"/>
      <c r="E897" s="1"/>
      <c r="F897" s="1"/>
      <c r="G897" s="1"/>
      <c r="H897" s="1"/>
      <c r="I897" s="1"/>
      <c r="J897" s="1"/>
      <c r="K897" s="1"/>
      <c r="L897" s="1"/>
      <c r="M897" s="1"/>
      <c r="N897" s="1"/>
      <c r="O897" s="1"/>
      <c r="P897" s="1"/>
      <c r="Q897" s="1"/>
      <c r="R897" s="1"/>
      <c r="S897" s="1"/>
      <c r="T897" s="1"/>
      <c r="U897" s="1"/>
    </row>
    <row r="898" ht="15.75" customHeight="1">
      <c r="A898" s="1"/>
      <c r="B898" s="1"/>
      <c r="C898" s="1"/>
      <c r="D898" s="2"/>
      <c r="E898" s="1"/>
      <c r="F898" s="1"/>
      <c r="G898" s="1"/>
      <c r="H898" s="1"/>
      <c r="I898" s="1"/>
      <c r="J898" s="1"/>
      <c r="K898" s="1"/>
      <c r="L898" s="1"/>
      <c r="M898" s="1"/>
      <c r="N898" s="1"/>
      <c r="O898" s="1"/>
      <c r="P898" s="1"/>
      <c r="Q898" s="1"/>
      <c r="R898" s="1"/>
      <c r="S898" s="1"/>
      <c r="T898" s="1"/>
      <c r="U898" s="1"/>
    </row>
    <row r="899" ht="15.75" customHeight="1">
      <c r="A899" s="1"/>
      <c r="B899" s="1"/>
      <c r="C899" s="1"/>
      <c r="D899" s="2"/>
      <c r="E899" s="1"/>
      <c r="F899" s="1"/>
      <c r="G899" s="1"/>
      <c r="H899" s="1"/>
      <c r="I899" s="1"/>
      <c r="J899" s="1"/>
      <c r="K899" s="1"/>
      <c r="L899" s="1"/>
      <c r="M899" s="1"/>
      <c r="N899" s="1"/>
      <c r="O899" s="1"/>
      <c r="P899" s="1"/>
      <c r="Q899" s="1"/>
      <c r="R899" s="1"/>
      <c r="S899" s="1"/>
      <c r="T899" s="1"/>
      <c r="U899" s="1"/>
    </row>
    <row r="900" ht="15.75" customHeight="1">
      <c r="A900" s="1"/>
      <c r="B900" s="1"/>
      <c r="C900" s="1"/>
      <c r="D900" s="2"/>
      <c r="E900" s="1"/>
      <c r="F900" s="1"/>
      <c r="G900" s="1"/>
      <c r="H900" s="1"/>
      <c r="I900" s="1"/>
      <c r="J900" s="1"/>
      <c r="K900" s="1"/>
      <c r="L900" s="1"/>
      <c r="M900" s="1"/>
      <c r="N900" s="1"/>
      <c r="O900" s="1"/>
      <c r="P900" s="1"/>
      <c r="Q900" s="1"/>
      <c r="R900" s="1"/>
      <c r="S900" s="1"/>
      <c r="T900" s="1"/>
      <c r="U900" s="1"/>
    </row>
    <row r="901" ht="15.75" customHeight="1">
      <c r="A901" s="1"/>
      <c r="B901" s="1"/>
      <c r="C901" s="1"/>
      <c r="D901" s="2"/>
      <c r="E901" s="1"/>
      <c r="F901" s="1"/>
      <c r="G901" s="1"/>
      <c r="H901" s="1"/>
      <c r="I901" s="1"/>
      <c r="J901" s="1"/>
      <c r="K901" s="1"/>
      <c r="L901" s="1"/>
      <c r="M901" s="1"/>
      <c r="N901" s="1"/>
      <c r="O901" s="1"/>
      <c r="P901" s="1"/>
      <c r="Q901" s="1"/>
      <c r="R901" s="1"/>
      <c r="S901" s="1"/>
      <c r="T901" s="1"/>
      <c r="U901" s="1"/>
    </row>
    <row r="902" ht="15.75" customHeight="1">
      <c r="A902" s="1"/>
      <c r="B902" s="1"/>
      <c r="C902" s="1"/>
      <c r="D902" s="2"/>
      <c r="E902" s="1"/>
      <c r="F902" s="1"/>
      <c r="G902" s="1"/>
      <c r="H902" s="1"/>
      <c r="I902" s="1"/>
      <c r="J902" s="1"/>
      <c r="K902" s="1"/>
      <c r="L902" s="1"/>
      <c r="M902" s="1"/>
      <c r="N902" s="1"/>
      <c r="O902" s="1"/>
      <c r="P902" s="1"/>
      <c r="Q902" s="1"/>
      <c r="R902" s="1"/>
      <c r="S902" s="1"/>
      <c r="T902" s="1"/>
      <c r="U902" s="1"/>
    </row>
    <row r="903" ht="15.75" customHeight="1">
      <c r="A903" s="1"/>
      <c r="B903" s="1"/>
      <c r="C903" s="1"/>
      <c r="D903" s="2"/>
      <c r="E903" s="1"/>
      <c r="F903" s="1"/>
      <c r="G903" s="1"/>
      <c r="H903" s="1"/>
      <c r="I903" s="1"/>
      <c r="J903" s="1"/>
      <c r="K903" s="1"/>
      <c r="L903" s="1"/>
      <c r="M903" s="1"/>
      <c r="N903" s="1"/>
      <c r="O903" s="1"/>
      <c r="P903" s="1"/>
      <c r="Q903" s="1"/>
      <c r="R903" s="1"/>
      <c r="S903" s="1"/>
      <c r="T903" s="1"/>
      <c r="U903" s="1"/>
    </row>
    <row r="904" ht="15.75" customHeight="1">
      <c r="A904" s="1"/>
      <c r="B904" s="1"/>
      <c r="C904" s="1"/>
      <c r="D904" s="2"/>
      <c r="E904" s="1"/>
      <c r="F904" s="1"/>
      <c r="G904" s="1"/>
      <c r="H904" s="1"/>
      <c r="I904" s="1"/>
      <c r="J904" s="1"/>
      <c r="K904" s="1"/>
      <c r="L904" s="1"/>
      <c r="M904" s="1"/>
      <c r="N904" s="1"/>
      <c r="O904" s="1"/>
      <c r="P904" s="1"/>
      <c r="Q904" s="1"/>
      <c r="R904" s="1"/>
      <c r="S904" s="1"/>
      <c r="T904" s="1"/>
      <c r="U904" s="1"/>
    </row>
    <row r="905" ht="15.75" customHeight="1">
      <c r="A905" s="1"/>
      <c r="B905" s="1"/>
      <c r="C905" s="1"/>
      <c r="D905" s="2"/>
      <c r="E905" s="1"/>
      <c r="F905" s="1"/>
      <c r="G905" s="1"/>
      <c r="H905" s="1"/>
      <c r="I905" s="1"/>
      <c r="J905" s="1"/>
      <c r="K905" s="1"/>
      <c r="L905" s="1"/>
      <c r="M905" s="1"/>
      <c r="N905" s="1"/>
      <c r="O905" s="1"/>
      <c r="P905" s="1"/>
      <c r="Q905" s="1"/>
      <c r="R905" s="1"/>
      <c r="S905" s="1"/>
      <c r="T905" s="1"/>
      <c r="U905" s="1"/>
    </row>
    <row r="906" ht="15.75" customHeight="1">
      <c r="A906" s="1"/>
      <c r="B906" s="1"/>
      <c r="C906" s="1"/>
      <c r="D906" s="2"/>
      <c r="E906" s="1"/>
      <c r="F906" s="1"/>
      <c r="G906" s="1"/>
      <c r="H906" s="1"/>
      <c r="I906" s="1"/>
      <c r="J906" s="1"/>
      <c r="K906" s="1"/>
      <c r="L906" s="1"/>
      <c r="M906" s="1"/>
      <c r="N906" s="1"/>
      <c r="O906" s="1"/>
      <c r="P906" s="1"/>
      <c r="Q906" s="1"/>
      <c r="R906" s="1"/>
      <c r="S906" s="1"/>
      <c r="T906" s="1"/>
      <c r="U906" s="1"/>
    </row>
    <row r="907" ht="15.75" customHeight="1">
      <c r="A907" s="1"/>
      <c r="B907" s="1"/>
      <c r="C907" s="1"/>
      <c r="D907" s="2"/>
      <c r="E907" s="1"/>
      <c r="F907" s="1"/>
      <c r="G907" s="1"/>
      <c r="H907" s="1"/>
      <c r="I907" s="1"/>
      <c r="J907" s="1"/>
      <c r="K907" s="1"/>
      <c r="L907" s="1"/>
      <c r="M907" s="1"/>
      <c r="N907" s="1"/>
      <c r="O907" s="1"/>
      <c r="P907" s="1"/>
      <c r="Q907" s="1"/>
      <c r="R907" s="1"/>
      <c r="S907" s="1"/>
      <c r="T907" s="1"/>
      <c r="U907" s="1"/>
    </row>
    <row r="908" ht="15.75" customHeight="1">
      <c r="A908" s="1"/>
      <c r="B908" s="1"/>
      <c r="C908" s="1"/>
      <c r="D908" s="2"/>
      <c r="E908" s="1"/>
      <c r="F908" s="1"/>
      <c r="G908" s="1"/>
      <c r="H908" s="1"/>
      <c r="I908" s="1"/>
      <c r="J908" s="1"/>
      <c r="K908" s="1"/>
      <c r="L908" s="1"/>
      <c r="M908" s="1"/>
      <c r="N908" s="1"/>
      <c r="O908" s="1"/>
      <c r="P908" s="1"/>
      <c r="Q908" s="1"/>
      <c r="R908" s="1"/>
      <c r="S908" s="1"/>
      <c r="T908" s="1"/>
      <c r="U908" s="1"/>
    </row>
    <row r="909" ht="15.75" customHeight="1">
      <c r="A909" s="1"/>
      <c r="B909" s="1"/>
      <c r="C909" s="1"/>
      <c r="D909" s="2"/>
      <c r="E909" s="1"/>
      <c r="F909" s="1"/>
      <c r="G909" s="1"/>
      <c r="H909" s="1"/>
      <c r="I909" s="1"/>
      <c r="J909" s="1"/>
      <c r="K909" s="1"/>
      <c r="L909" s="1"/>
      <c r="M909" s="1"/>
      <c r="N909" s="1"/>
      <c r="O909" s="1"/>
      <c r="P909" s="1"/>
      <c r="Q909" s="1"/>
      <c r="R909" s="1"/>
      <c r="S909" s="1"/>
      <c r="T909" s="1"/>
      <c r="U909" s="1"/>
    </row>
    <row r="910" ht="15.75" customHeight="1">
      <c r="A910" s="1"/>
      <c r="B910" s="1"/>
      <c r="C910" s="1"/>
      <c r="D910" s="2"/>
      <c r="E910" s="1"/>
      <c r="F910" s="1"/>
      <c r="G910" s="1"/>
      <c r="H910" s="1"/>
      <c r="I910" s="1"/>
      <c r="J910" s="1"/>
      <c r="K910" s="1"/>
      <c r="L910" s="1"/>
      <c r="M910" s="1"/>
      <c r="N910" s="1"/>
      <c r="O910" s="1"/>
      <c r="P910" s="1"/>
      <c r="Q910" s="1"/>
      <c r="R910" s="1"/>
      <c r="S910" s="1"/>
      <c r="T910" s="1"/>
      <c r="U910" s="1"/>
    </row>
    <row r="911" ht="15.75" customHeight="1">
      <c r="A911" s="1"/>
      <c r="B911" s="1"/>
      <c r="C911" s="1"/>
      <c r="D911" s="2"/>
      <c r="E911" s="1"/>
      <c r="F911" s="1"/>
      <c r="G911" s="1"/>
      <c r="H911" s="1"/>
      <c r="I911" s="1"/>
      <c r="J911" s="1"/>
      <c r="K911" s="1"/>
      <c r="L911" s="1"/>
      <c r="M911" s="1"/>
      <c r="N911" s="1"/>
      <c r="O911" s="1"/>
      <c r="P911" s="1"/>
      <c r="Q911" s="1"/>
      <c r="R911" s="1"/>
      <c r="S911" s="1"/>
      <c r="T911" s="1"/>
      <c r="U911" s="1"/>
    </row>
    <row r="912" ht="15.75" customHeight="1">
      <c r="A912" s="1"/>
      <c r="B912" s="1"/>
      <c r="C912" s="1"/>
      <c r="D912" s="2"/>
      <c r="E912" s="1"/>
      <c r="F912" s="1"/>
      <c r="G912" s="1"/>
      <c r="H912" s="1"/>
      <c r="I912" s="1"/>
      <c r="J912" s="1"/>
      <c r="K912" s="1"/>
      <c r="L912" s="1"/>
      <c r="M912" s="1"/>
      <c r="N912" s="1"/>
      <c r="O912" s="1"/>
      <c r="P912" s="1"/>
      <c r="Q912" s="1"/>
      <c r="R912" s="1"/>
      <c r="S912" s="1"/>
      <c r="T912" s="1"/>
      <c r="U912" s="1"/>
    </row>
    <row r="913" ht="15.75" customHeight="1">
      <c r="A913" s="1"/>
      <c r="B913" s="1"/>
      <c r="C913" s="1"/>
      <c r="D913" s="2"/>
      <c r="E913" s="1"/>
      <c r="F913" s="1"/>
      <c r="G913" s="1"/>
      <c r="H913" s="1"/>
      <c r="I913" s="1"/>
      <c r="J913" s="1"/>
      <c r="K913" s="1"/>
      <c r="L913" s="1"/>
      <c r="M913" s="1"/>
      <c r="N913" s="1"/>
      <c r="O913" s="1"/>
      <c r="P913" s="1"/>
      <c r="Q913" s="1"/>
      <c r="R913" s="1"/>
      <c r="S913" s="1"/>
      <c r="T913" s="1"/>
      <c r="U913" s="1"/>
    </row>
    <row r="914" ht="15.75" customHeight="1">
      <c r="A914" s="1"/>
      <c r="B914" s="1"/>
      <c r="C914" s="1"/>
      <c r="D914" s="2"/>
      <c r="E914" s="1"/>
      <c r="F914" s="1"/>
      <c r="G914" s="1"/>
      <c r="H914" s="1"/>
      <c r="I914" s="1"/>
      <c r="J914" s="1"/>
      <c r="K914" s="1"/>
      <c r="L914" s="1"/>
      <c r="M914" s="1"/>
      <c r="N914" s="1"/>
      <c r="O914" s="1"/>
      <c r="P914" s="1"/>
      <c r="Q914" s="1"/>
      <c r="R914" s="1"/>
      <c r="S914" s="1"/>
      <c r="T914" s="1"/>
      <c r="U914" s="1"/>
    </row>
    <row r="915" ht="15.75" customHeight="1">
      <c r="A915" s="1"/>
      <c r="B915" s="1"/>
      <c r="C915" s="1"/>
      <c r="D915" s="2"/>
      <c r="E915" s="1"/>
      <c r="F915" s="1"/>
      <c r="G915" s="1"/>
      <c r="H915" s="1"/>
      <c r="I915" s="1"/>
      <c r="J915" s="1"/>
      <c r="K915" s="1"/>
      <c r="L915" s="1"/>
      <c r="M915" s="1"/>
      <c r="N915" s="1"/>
      <c r="O915" s="1"/>
      <c r="P915" s="1"/>
      <c r="Q915" s="1"/>
      <c r="R915" s="1"/>
      <c r="S915" s="1"/>
      <c r="T915" s="1"/>
      <c r="U915" s="1"/>
    </row>
    <row r="916" ht="15.75" customHeight="1">
      <c r="A916" s="1"/>
      <c r="B916" s="1"/>
      <c r="C916" s="1"/>
      <c r="D916" s="2"/>
      <c r="E916" s="1"/>
      <c r="F916" s="1"/>
      <c r="G916" s="1"/>
      <c r="H916" s="1"/>
      <c r="I916" s="1"/>
      <c r="J916" s="1"/>
      <c r="K916" s="1"/>
      <c r="L916" s="1"/>
      <c r="M916" s="1"/>
      <c r="N916" s="1"/>
      <c r="O916" s="1"/>
      <c r="P916" s="1"/>
      <c r="Q916" s="1"/>
      <c r="R916" s="1"/>
      <c r="S916" s="1"/>
      <c r="T916" s="1"/>
      <c r="U916" s="1"/>
    </row>
    <row r="917" ht="15.75" customHeight="1">
      <c r="A917" s="1"/>
      <c r="B917" s="1"/>
      <c r="C917" s="1"/>
      <c r="D917" s="2"/>
      <c r="E917" s="1"/>
      <c r="F917" s="1"/>
      <c r="G917" s="1"/>
      <c r="H917" s="1"/>
      <c r="I917" s="1"/>
      <c r="J917" s="1"/>
      <c r="K917" s="1"/>
      <c r="L917" s="1"/>
      <c r="M917" s="1"/>
      <c r="N917" s="1"/>
      <c r="O917" s="1"/>
      <c r="P917" s="1"/>
      <c r="Q917" s="1"/>
      <c r="R917" s="1"/>
      <c r="S917" s="1"/>
      <c r="T917" s="1"/>
      <c r="U917" s="1"/>
    </row>
    <row r="918" ht="15.75" customHeight="1">
      <c r="A918" s="1"/>
      <c r="B918" s="1"/>
      <c r="C918" s="1"/>
      <c r="D918" s="2"/>
      <c r="E918" s="1"/>
      <c r="F918" s="1"/>
      <c r="G918" s="1"/>
      <c r="H918" s="1"/>
      <c r="I918" s="1"/>
      <c r="J918" s="1"/>
      <c r="K918" s="1"/>
      <c r="L918" s="1"/>
      <c r="M918" s="1"/>
      <c r="N918" s="1"/>
      <c r="O918" s="1"/>
      <c r="P918" s="1"/>
      <c r="Q918" s="1"/>
      <c r="R918" s="1"/>
      <c r="S918" s="1"/>
      <c r="T918" s="1"/>
      <c r="U918" s="1"/>
    </row>
    <row r="919" ht="15.75" customHeight="1">
      <c r="A919" s="1"/>
      <c r="B919" s="1"/>
      <c r="C919" s="1"/>
      <c r="D919" s="2"/>
      <c r="E919" s="1"/>
      <c r="F919" s="1"/>
      <c r="G919" s="1"/>
      <c r="H919" s="1"/>
      <c r="I919" s="1"/>
      <c r="J919" s="1"/>
      <c r="K919" s="1"/>
      <c r="L919" s="1"/>
      <c r="M919" s="1"/>
      <c r="N919" s="1"/>
      <c r="O919" s="1"/>
      <c r="P919" s="1"/>
      <c r="Q919" s="1"/>
      <c r="R919" s="1"/>
      <c r="S919" s="1"/>
      <c r="T919" s="1"/>
      <c r="U919" s="1"/>
    </row>
    <row r="920" ht="15.75" customHeight="1">
      <c r="A920" s="1"/>
      <c r="B920" s="1"/>
      <c r="C920" s="1"/>
      <c r="D920" s="2"/>
      <c r="E920" s="1"/>
      <c r="F920" s="1"/>
      <c r="G920" s="1"/>
      <c r="H920" s="1"/>
      <c r="I920" s="1"/>
      <c r="J920" s="1"/>
      <c r="K920" s="1"/>
      <c r="L920" s="1"/>
      <c r="M920" s="1"/>
      <c r="N920" s="1"/>
      <c r="O920" s="1"/>
      <c r="P920" s="1"/>
      <c r="Q920" s="1"/>
      <c r="R920" s="1"/>
      <c r="S920" s="1"/>
      <c r="T920" s="1"/>
      <c r="U920" s="1"/>
    </row>
    <row r="921" ht="15.75" customHeight="1">
      <c r="A921" s="1"/>
      <c r="B921" s="1"/>
      <c r="C921" s="1"/>
      <c r="D921" s="2"/>
      <c r="E921" s="1"/>
      <c r="F921" s="1"/>
      <c r="G921" s="1"/>
      <c r="H921" s="1"/>
      <c r="I921" s="1"/>
      <c r="J921" s="1"/>
      <c r="K921" s="1"/>
      <c r="L921" s="1"/>
      <c r="M921" s="1"/>
      <c r="N921" s="1"/>
      <c r="O921" s="1"/>
      <c r="P921" s="1"/>
      <c r="Q921" s="1"/>
      <c r="R921" s="1"/>
      <c r="S921" s="1"/>
      <c r="T921" s="1"/>
      <c r="U921" s="1"/>
    </row>
    <row r="922" ht="15.75" customHeight="1">
      <c r="A922" s="1"/>
      <c r="B922" s="1"/>
      <c r="C922" s="1"/>
      <c r="D922" s="2"/>
      <c r="E922" s="1"/>
      <c r="F922" s="1"/>
      <c r="G922" s="1"/>
      <c r="H922" s="1"/>
      <c r="I922" s="1"/>
      <c r="J922" s="1"/>
      <c r="K922" s="1"/>
      <c r="L922" s="1"/>
      <c r="M922" s="1"/>
      <c r="N922" s="1"/>
      <c r="O922" s="1"/>
      <c r="P922" s="1"/>
      <c r="Q922" s="1"/>
      <c r="R922" s="1"/>
      <c r="S922" s="1"/>
      <c r="T922" s="1"/>
      <c r="U922" s="1"/>
    </row>
    <row r="923" ht="15.75" customHeight="1">
      <c r="A923" s="1"/>
      <c r="B923" s="1"/>
      <c r="C923" s="1"/>
      <c r="D923" s="2"/>
      <c r="E923" s="1"/>
      <c r="F923" s="1"/>
      <c r="G923" s="1"/>
      <c r="H923" s="1"/>
      <c r="I923" s="1"/>
      <c r="J923" s="1"/>
      <c r="K923" s="1"/>
      <c r="L923" s="1"/>
      <c r="M923" s="1"/>
      <c r="N923" s="1"/>
      <c r="O923" s="1"/>
      <c r="P923" s="1"/>
      <c r="Q923" s="1"/>
      <c r="R923" s="1"/>
      <c r="S923" s="1"/>
      <c r="T923" s="1"/>
      <c r="U923" s="1"/>
    </row>
    <row r="924" ht="15.75" customHeight="1">
      <c r="A924" s="1"/>
      <c r="B924" s="1"/>
      <c r="C924" s="1"/>
      <c r="D924" s="2"/>
      <c r="E924" s="1"/>
      <c r="F924" s="1"/>
      <c r="G924" s="1"/>
      <c r="H924" s="1"/>
      <c r="I924" s="1"/>
      <c r="J924" s="1"/>
      <c r="K924" s="1"/>
      <c r="L924" s="1"/>
      <c r="M924" s="1"/>
      <c r="N924" s="1"/>
      <c r="O924" s="1"/>
      <c r="P924" s="1"/>
      <c r="Q924" s="1"/>
      <c r="R924" s="1"/>
      <c r="S924" s="1"/>
      <c r="T924" s="1"/>
      <c r="U924" s="1"/>
    </row>
    <row r="925" ht="15.75" customHeight="1">
      <c r="A925" s="1"/>
      <c r="B925" s="1"/>
      <c r="C925" s="1"/>
      <c r="D925" s="2"/>
      <c r="E925" s="1"/>
      <c r="F925" s="1"/>
      <c r="G925" s="1"/>
      <c r="H925" s="1"/>
      <c r="I925" s="1"/>
      <c r="J925" s="1"/>
      <c r="K925" s="1"/>
      <c r="L925" s="1"/>
      <c r="M925" s="1"/>
      <c r="N925" s="1"/>
      <c r="O925" s="1"/>
      <c r="P925" s="1"/>
      <c r="Q925" s="1"/>
      <c r="R925" s="1"/>
      <c r="S925" s="1"/>
      <c r="T925" s="1"/>
      <c r="U925" s="1"/>
    </row>
    <row r="926" ht="15.75" customHeight="1">
      <c r="A926" s="1"/>
      <c r="B926" s="1"/>
      <c r="C926" s="1"/>
      <c r="D926" s="2"/>
      <c r="E926" s="1"/>
      <c r="F926" s="1"/>
      <c r="G926" s="1"/>
      <c r="H926" s="1"/>
      <c r="I926" s="1"/>
      <c r="J926" s="1"/>
      <c r="K926" s="1"/>
      <c r="L926" s="1"/>
      <c r="M926" s="1"/>
      <c r="N926" s="1"/>
      <c r="O926" s="1"/>
      <c r="P926" s="1"/>
      <c r="Q926" s="1"/>
      <c r="R926" s="1"/>
      <c r="S926" s="1"/>
      <c r="T926" s="1"/>
      <c r="U926" s="1"/>
    </row>
    <row r="927" ht="15.75" customHeight="1">
      <c r="A927" s="1"/>
      <c r="B927" s="1"/>
      <c r="C927" s="1"/>
      <c r="D927" s="2"/>
      <c r="E927" s="1"/>
      <c r="F927" s="1"/>
      <c r="G927" s="1"/>
      <c r="H927" s="1"/>
      <c r="I927" s="1"/>
      <c r="J927" s="1"/>
      <c r="K927" s="1"/>
      <c r="L927" s="1"/>
      <c r="M927" s="1"/>
      <c r="N927" s="1"/>
      <c r="O927" s="1"/>
      <c r="P927" s="1"/>
      <c r="Q927" s="1"/>
      <c r="R927" s="1"/>
      <c r="S927" s="1"/>
      <c r="T927" s="1"/>
      <c r="U927" s="1"/>
    </row>
    <row r="928" ht="15.75" customHeight="1">
      <c r="A928" s="1"/>
      <c r="B928" s="1"/>
      <c r="C928" s="1"/>
      <c r="D928" s="2"/>
      <c r="E928" s="1"/>
      <c r="F928" s="1"/>
      <c r="G928" s="1"/>
      <c r="H928" s="1"/>
      <c r="I928" s="1"/>
      <c r="J928" s="1"/>
      <c r="K928" s="1"/>
      <c r="L928" s="1"/>
      <c r="M928" s="1"/>
      <c r="N928" s="1"/>
      <c r="O928" s="1"/>
      <c r="P928" s="1"/>
      <c r="Q928" s="1"/>
      <c r="R928" s="1"/>
      <c r="S928" s="1"/>
      <c r="T928" s="1"/>
      <c r="U928" s="1"/>
    </row>
    <row r="929" ht="15.75" customHeight="1">
      <c r="A929" s="1"/>
      <c r="B929" s="1"/>
      <c r="C929" s="1"/>
      <c r="D929" s="2"/>
      <c r="E929" s="1"/>
      <c r="F929" s="1"/>
      <c r="G929" s="1"/>
      <c r="H929" s="1"/>
      <c r="I929" s="1"/>
      <c r="J929" s="1"/>
      <c r="K929" s="1"/>
      <c r="L929" s="1"/>
      <c r="M929" s="1"/>
      <c r="N929" s="1"/>
      <c r="O929" s="1"/>
      <c r="P929" s="1"/>
      <c r="Q929" s="1"/>
      <c r="R929" s="1"/>
      <c r="S929" s="1"/>
      <c r="T929" s="1"/>
      <c r="U929" s="1"/>
    </row>
    <row r="930" ht="15.75" customHeight="1">
      <c r="A930" s="1"/>
      <c r="B930" s="1"/>
      <c r="C930" s="1"/>
      <c r="D930" s="2"/>
      <c r="E930" s="1"/>
      <c r="F930" s="1"/>
      <c r="G930" s="1"/>
      <c r="H930" s="1"/>
      <c r="I930" s="1"/>
      <c r="J930" s="1"/>
      <c r="K930" s="1"/>
      <c r="L930" s="1"/>
      <c r="M930" s="1"/>
      <c r="N930" s="1"/>
      <c r="O930" s="1"/>
      <c r="P930" s="1"/>
      <c r="Q930" s="1"/>
      <c r="R930" s="1"/>
      <c r="S930" s="1"/>
      <c r="T930" s="1"/>
      <c r="U930" s="1"/>
    </row>
    <row r="931" ht="15.75" customHeight="1">
      <c r="A931" s="1"/>
      <c r="B931" s="1"/>
      <c r="C931" s="1"/>
      <c r="D931" s="2"/>
      <c r="E931" s="1"/>
      <c r="F931" s="1"/>
      <c r="G931" s="1"/>
      <c r="H931" s="1"/>
      <c r="I931" s="1"/>
      <c r="J931" s="1"/>
      <c r="K931" s="1"/>
      <c r="L931" s="1"/>
      <c r="M931" s="1"/>
      <c r="N931" s="1"/>
      <c r="O931" s="1"/>
      <c r="P931" s="1"/>
      <c r="Q931" s="1"/>
      <c r="R931" s="1"/>
      <c r="S931" s="1"/>
      <c r="T931" s="1"/>
      <c r="U931" s="1"/>
    </row>
    <row r="932" ht="15.75" customHeight="1">
      <c r="A932" s="1"/>
      <c r="B932" s="1"/>
      <c r="C932" s="1"/>
      <c r="D932" s="2"/>
      <c r="E932" s="1"/>
      <c r="F932" s="1"/>
      <c r="G932" s="1"/>
      <c r="H932" s="1"/>
      <c r="I932" s="1"/>
      <c r="J932" s="1"/>
      <c r="K932" s="1"/>
      <c r="L932" s="1"/>
      <c r="M932" s="1"/>
      <c r="N932" s="1"/>
      <c r="O932" s="1"/>
      <c r="P932" s="1"/>
      <c r="Q932" s="1"/>
      <c r="R932" s="1"/>
      <c r="S932" s="1"/>
      <c r="T932" s="1"/>
      <c r="U932" s="1"/>
    </row>
    <row r="933" ht="15.75" customHeight="1">
      <c r="A933" s="1"/>
      <c r="B933" s="1"/>
      <c r="C933" s="1"/>
      <c r="D933" s="2"/>
      <c r="E933" s="1"/>
      <c r="F933" s="1"/>
      <c r="G933" s="1"/>
      <c r="H933" s="1"/>
      <c r="I933" s="1"/>
      <c r="J933" s="1"/>
      <c r="K933" s="1"/>
      <c r="L933" s="1"/>
      <c r="M933" s="1"/>
      <c r="N933" s="1"/>
      <c r="O933" s="1"/>
      <c r="P933" s="1"/>
      <c r="Q933" s="1"/>
      <c r="R933" s="1"/>
      <c r="S933" s="1"/>
      <c r="T933" s="1"/>
      <c r="U933" s="1"/>
    </row>
    <row r="934" ht="15.75" customHeight="1">
      <c r="A934" s="1"/>
      <c r="B934" s="1"/>
      <c r="C934" s="1"/>
      <c r="D934" s="2"/>
      <c r="E934" s="1"/>
      <c r="F934" s="1"/>
      <c r="G934" s="1"/>
      <c r="H934" s="1"/>
      <c r="I934" s="1"/>
      <c r="J934" s="1"/>
      <c r="K934" s="1"/>
      <c r="L934" s="1"/>
      <c r="M934" s="1"/>
      <c r="N934" s="1"/>
      <c r="O934" s="1"/>
      <c r="P934" s="1"/>
      <c r="Q934" s="1"/>
      <c r="R934" s="1"/>
      <c r="S934" s="1"/>
      <c r="T934" s="1"/>
      <c r="U934" s="1"/>
    </row>
    <row r="935" ht="15.75" customHeight="1">
      <c r="A935" s="1"/>
      <c r="B935" s="1"/>
      <c r="C935" s="1"/>
      <c r="D935" s="2"/>
      <c r="E935" s="1"/>
      <c r="F935" s="1"/>
      <c r="G935" s="1"/>
      <c r="H935" s="1"/>
      <c r="I935" s="1"/>
      <c r="J935" s="1"/>
      <c r="K935" s="1"/>
      <c r="L935" s="1"/>
      <c r="M935" s="1"/>
      <c r="N935" s="1"/>
      <c r="O935" s="1"/>
      <c r="P935" s="1"/>
      <c r="Q935" s="1"/>
      <c r="R935" s="1"/>
      <c r="S935" s="1"/>
      <c r="T935" s="1"/>
      <c r="U935" s="1"/>
    </row>
    <row r="936" ht="15.75" customHeight="1">
      <c r="A936" s="1"/>
      <c r="B936" s="1"/>
      <c r="C936" s="1"/>
      <c r="D936" s="2"/>
      <c r="E936" s="1"/>
      <c r="F936" s="1"/>
      <c r="G936" s="1"/>
      <c r="H936" s="1"/>
      <c r="I936" s="1"/>
      <c r="J936" s="1"/>
      <c r="K936" s="1"/>
      <c r="L936" s="1"/>
      <c r="M936" s="1"/>
      <c r="N936" s="1"/>
      <c r="O936" s="1"/>
      <c r="P936" s="1"/>
      <c r="Q936" s="1"/>
      <c r="R936" s="1"/>
      <c r="S936" s="1"/>
      <c r="T936" s="1"/>
      <c r="U936" s="1"/>
    </row>
    <row r="937" ht="15.75" customHeight="1">
      <c r="A937" s="1"/>
      <c r="B937" s="1"/>
      <c r="C937" s="1"/>
      <c r="D937" s="2"/>
      <c r="E937" s="1"/>
      <c r="F937" s="1"/>
      <c r="G937" s="1"/>
      <c r="H937" s="1"/>
      <c r="I937" s="1"/>
      <c r="J937" s="1"/>
      <c r="K937" s="1"/>
      <c r="L937" s="1"/>
      <c r="M937" s="1"/>
      <c r="N937" s="1"/>
      <c r="O937" s="1"/>
      <c r="P937" s="1"/>
      <c r="Q937" s="1"/>
      <c r="R937" s="1"/>
      <c r="S937" s="1"/>
      <c r="T937" s="1"/>
      <c r="U937" s="1"/>
    </row>
    <row r="938" ht="15.75" customHeight="1">
      <c r="A938" s="1"/>
      <c r="B938" s="1"/>
      <c r="C938" s="1"/>
      <c r="D938" s="2"/>
      <c r="E938" s="1"/>
      <c r="F938" s="1"/>
      <c r="G938" s="1"/>
      <c r="H938" s="1"/>
      <c r="I938" s="1"/>
      <c r="J938" s="1"/>
      <c r="K938" s="1"/>
      <c r="L938" s="1"/>
      <c r="M938" s="1"/>
      <c r="N938" s="1"/>
      <c r="O938" s="1"/>
      <c r="P938" s="1"/>
      <c r="Q938" s="1"/>
      <c r="R938" s="1"/>
      <c r="S938" s="1"/>
      <c r="T938" s="1"/>
      <c r="U938" s="1"/>
    </row>
    <row r="939" ht="15.75" customHeight="1">
      <c r="A939" s="1"/>
      <c r="B939" s="1"/>
      <c r="C939" s="1"/>
      <c r="D939" s="2"/>
      <c r="E939" s="1"/>
      <c r="F939" s="1"/>
      <c r="G939" s="1"/>
      <c r="H939" s="1"/>
      <c r="I939" s="1"/>
      <c r="J939" s="1"/>
      <c r="K939" s="1"/>
      <c r="L939" s="1"/>
      <c r="M939" s="1"/>
      <c r="N939" s="1"/>
      <c r="O939" s="1"/>
      <c r="P939" s="1"/>
      <c r="Q939" s="1"/>
      <c r="R939" s="1"/>
      <c r="S939" s="1"/>
      <c r="T939" s="1"/>
      <c r="U939" s="1"/>
    </row>
    <row r="940" ht="15.75" customHeight="1">
      <c r="A940" s="1"/>
      <c r="B940" s="1"/>
      <c r="C940" s="1"/>
      <c r="D940" s="2"/>
      <c r="E940" s="1"/>
      <c r="F940" s="1"/>
      <c r="G940" s="1"/>
      <c r="H940" s="1"/>
      <c r="I940" s="1"/>
      <c r="J940" s="1"/>
      <c r="K940" s="1"/>
      <c r="L940" s="1"/>
      <c r="M940" s="1"/>
      <c r="N940" s="1"/>
      <c r="O940" s="1"/>
      <c r="P940" s="1"/>
      <c r="Q940" s="1"/>
      <c r="R940" s="1"/>
      <c r="S940" s="1"/>
      <c r="T940" s="1"/>
      <c r="U940" s="1"/>
    </row>
    <row r="941" ht="15.75" customHeight="1">
      <c r="A941" s="1"/>
      <c r="B941" s="1"/>
      <c r="C941" s="1"/>
      <c r="D941" s="2"/>
      <c r="E941" s="1"/>
      <c r="F941" s="1"/>
      <c r="G941" s="1"/>
      <c r="H941" s="1"/>
      <c r="I941" s="1"/>
      <c r="J941" s="1"/>
      <c r="K941" s="1"/>
      <c r="L941" s="1"/>
      <c r="M941" s="1"/>
      <c r="N941" s="1"/>
      <c r="O941" s="1"/>
      <c r="P941" s="1"/>
      <c r="Q941" s="1"/>
      <c r="R941" s="1"/>
      <c r="S941" s="1"/>
      <c r="T941" s="1"/>
      <c r="U941" s="1"/>
    </row>
    <row r="942" ht="15.75" customHeight="1">
      <c r="A942" s="1"/>
      <c r="B942" s="1"/>
      <c r="C942" s="1"/>
      <c r="D942" s="2"/>
      <c r="E942" s="1"/>
      <c r="F942" s="1"/>
      <c r="G942" s="1"/>
      <c r="H942" s="1"/>
      <c r="I942" s="1"/>
      <c r="J942" s="1"/>
      <c r="K942" s="1"/>
      <c r="L942" s="1"/>
      <c r="M942" s="1"/>
      <c r="N942" s="1"/>
      <c r="O942" s="1"/>
      <c r="P942" s="1"/>
      <c r="Q942" s="1"/>
      <c r="R942" s="1"/>
      <c r="S942" s="1"/>
      <c r="T942" s="1"/>
      <c r="U942" s="1"/>
    </row>
    <row r="943" ht="15.75" customHeight="1">
      <c r="A943" s="1"/>
      <c r="B943" s="1"/>
      <c r="C943" s="1"/>
      <c r="D943" s="2"/>
      <c r="E943" s="1"/>
      <c r="F943" s="1"/>
      <c r="G943" s="1"/>
      <c r="H943" s="1"/>
      <c r="I943" s="1"/>
      <c r="J943" s="1"/>
      <c r="K943" s="1"/>
      <c r="L943" s="1"/>
      <c r="M943" s="1"/>
      <c r="N943" s="1"/>
      <c r="O943" s="1"/>
      <c r="P943" s="1"/>
      <c r="Q943" s="1"/>
      <c r="R943" s="1"/>
      <c r="S943" s="1"/>
      <c r="T943" s="1"/>
      <c r="U943" s="1"/>
    </row>
    <row r="944" ht="15.75" customHeight="1">
      <c r="A944" s="1"/>
      <c r="B944" s="1"/>
      <c r="C944" s="1"/>
      <c r="D944" s="2"/>
      <c r="E944" s="1"/>
      <c r="F944" s="1"/>
      <c r="G944" s="1"/>
      <c r="H944" s="1"/>
      <c r="I944" s="1"/>
      <c r="J944" s="1"/>
      <c r="K944" s="1"/>
      <c r="L944" s="1"/>
      <c r="M944" s="1"/>
      <c r="N944" s="1"/>
      <c r="O944" s="1"/>
      <c r="P944" s="1"/>
      <c r="Q944" s="1"/>
      <c r="R944" s="1"/>
      <c r="S944" s="1"/>
      <c r="T944" s="1"/>
      <c r="U944" s="1"/>
    </row>
    <row r="945" ht="15.75" customHeight="1">
      <c r="A945" s="1"/>
      <c r="B945" s="1"/>
      <c r="C945" s="1"/>
      <c r="D945" s="2"/>
      <c r="E945" s="1"/>
      <c r="F945" s="1"/>
      <c r="G945" s="1"/>
      <c r="H945" s="1"/>
      <c r="I945" s="1"/>
      <c r="J945" s="1"/>
      <c r="K945" s="1"/>
      <c r="L945" s="1"/>
      <c r="M945" s="1"/>
      <c r="N945" s="1"/>
      <c r="O945" s="1"/>
      <c r="P945" s="1"/>
      <c r="Q945" s="1"/>
      <c r="R945" s="1"/>
      <c r="S945" s="1"/>
      <c r="T945" s="1"/>
      <c r="U945" s="1"/>
    </row>
    <row r="946" ht="15.75" customHeight="1">
      <c r="A946" s="1"/>
      <c r="B946" s="1"/>
      <c r="C946" s="1"/>
      <c r="D946" s="2"/>
      <c r="E946" s="1"/>
      <c r="F946" s="1"/>
      <c r="G946" s="1"/>
      <c r="H946" s="1"/>
      <c r="I946" s="1"/>
      <c r="J946" s="1"/>
      <c r="K946" s="1"/>
      <c r="L946" s="1"/>
      <c r="M946" s="1"/>
      <c r="N946" s="1"/>
      <c r="O946" s="1"/>
      <c r="P946" s="1"/>
      <c r="Q946" s="1"/>
      <c r="R946" s="1"/>
      <c r="S946" s="1"/>
      <c r="T946" s="1"/>
      <c r="U946" s="1"/>
    </row>
    <row r="947" ht="15.75" customHeight="1">
      <c r="A947" s="1"/>
      <c r="B947" s="1"/>
      <c r="C947" s="1"/>
      <c r="D947" s="2"/>
      <c r="E947" s="1"/>
      <c r="F947" s="1"/>
      <c r="G947" s="1"/>
      <c r="H947" s="1"/>
      <c r="I947" s="1"/>
      <c r="J947" s="1"/>
      <c r="K947" s="1"/>
      <c r="L947" s="1"/>
      <c r="M947" s="1"/>
      <c r="N947" s="1"/>
      <c r="O947" s="1"/>
      <c r="P947" s="1"/>
      <c r="Q947" s="1"/>
      <c r="R947" s="1"/>
      <c r="S947" s="1"/>
      <c r="T947" s="1"/>
      <c r="U947" s="1"/>
    </row>
    <row r="948" ht="15.75" customHeight="1">
      <c r="A948" s="1"/>
      <c r="B948" s="1"/>
      <c r="C948" s="1"/>
      <c r="D948" s="2"/>
      <c r="E948" s="1"/>
      <c r="F948" s="1"/>
      <c r="G948" s="1"/>
      <c r="H948" s="1"/>
      <c r="I948" s="1"/>
      <c r="J948" s="1"/>
      <c r="K948" s="1"/>
      <c r="L948" s="1"/>
      <c r="M948" s="1"/>
      <c r="N948" s="1"/>
      <c r="O948" s="1"/>
      <c r="P948" s="1"/>
      <c r="Q948" s="1"/>
      <c r="R948" s="1"/>
      <c r="S948" s="1"/>
      <c r="T948" s="1"/>
      <c r="U948" s="1"/>
    </row>
    <row r="949" ht="15.75" customHeight="1">
      <c r="A949" s="1"/>
      <c r="B949" s="1"/>
      <c r="C949" s="1"/>
      <c r="D949" s="2"/>
      <c r="E949" s="1"/>
      <c r="F949" s="1"/>
      <c r="G949" s="1"/>
      <c r="H949" s="1"/>
      <c r="I949" s="1"/>
      <c r="J949" s="1"/>
      <c r="K949" s="1"/>
      <c r="L949" s="1"/>
      <c r="M949" s="1"/>
      <c r="N949" s="1"/>
      <c r="O949" s="1"/>
      <c r="P949" s="1"/>
      <c r="Q949" s="1"/>
      <c r="R949" s="1"/>
      <c r="S949" s="1"/>
      <c r="T949" s="1"/>
      <c r="U949" s="1"/>
    </row>
    <row r="950" ht="15.75" customHeight="1">
      <c r="A950" s="1"/>
      <c r="B950" s="1"/>
      <c r="C950" s="1"/>
      <c r="D950" s="2"/>
      <c r="E950" s="1"/>
      <c r="F950" s="1"/>
      <c r="G950" s="1"/>
      <c r="H950" s="1"/>
      <c r="I950" s="1"/>
      <c r="J950" s="1"/>
      <c r="K950" s="1"/>
      <c r="L950" s="1"/>
      <c r="M950" s="1"/>
      <c r="N950" s="1"/>
      <c r="O950" s="1"/>
      <c r="P950" s="1"/>
      <c r="Q950" s="1"/>
      <c r="R950" s="1"/>
      <c r="S950" s="1"/>
      <c r="T950" s="1"/>
      <c r="U950" s="1"/>
    </row>
    <row r="951" ht="15.75" customHeight="1">
      <c r="A951" s="1"/>
      <c r="B951" s="1"/>
      <c r="C951" s="1"/>
      <c r="D951" s="2"/>
      <c r="E951" s="1"/>
      <c r="F951" s="1"/>
      <c r="G951" s="1"/>
      <c r="H951" s="1"/>
      <c r="I951" s="1"/>
      <c r="J951" s="1"/>
      <c r="K951" s="1"/>
      <c r="L951" s="1"/>
      <c r="M951" s="1"/>
      <c r="N951" s="1"/>
      <c r="O951" s="1"/>
      <c r="P951" s="1"/>
      <c r="Q951" s="1"/>
      <c r="R951" s="1"/>
      <c r="S951" s="1"/>
      <c r="T951" s="1"/>
      <c r="U951" s="1"/>
    </row>
    <row r="952" ht="15.75" customHeight="1">
      <c r="A952" s="1"/>
      <c r="B952" s="1"/>
      <c r="C952" s="1"/>
      <c r="D952" s="2"/>
      <c r="E952" s="1"/>
      <c r="F952" s="1"/>
      <c r="G952" s="1"/>
      <c r="H952" s="1"/>
      <c r="I952" s="1"/>
      <c r="J952" s="1"/>
      <c r="K952" s="1"/>
      <c r="L952" s="1"/>
      <c r="M952" s="1"/>
      <c r="N952" s="1"/>
      <c r="O952" s="1"/>
      <c r="P952" s="1"/>
      <c r="Q952" s="1"/>
      <c r="R952" s="1"/>
      <c r="S952" s="1"/>
      <c r="T952" s="1"/>
      <c r="U952" s="1"/>
    </row>
    <row r="953" ht="15.75" customHeight="1">
      <c r="A953" s="1"/>
      <c r="B953" s="1"/>
      <c r="C953" s="1"/>
      <c r="D953" s="2"/>
      <c r="E953" s="1"/>
      <c r="F953" s="1"/>
      <c r="G953" s="1"/>
      <c r="H953" s="1"/>
      <c r="I953" s="1"/>
      <c r="J953" s="1"/>
      <c r="K953" s="1"/>
      <c r="L953" s="1"/>
      <c r="M953" s="1"/>
      <c r="N953" s="1"/>
      <c r="O953" s="1"/>
      <c r="P953" s="1"/>
      <c r="Q953" s="1"/>
      <c r="R953" s="1"/>
      <c r="S953" s="1"/>
      <c r="T953" s="1"/>
      <c r="U953" s="1"/>
    </row>
    <row r="954" ht="15.75" customHeight="1">
      <c r="A954" s="1"/>
      <c r="B954" s="1"/>
      <c r="C954" s="1"/>
      <c r="D954" s="2"/>
      <c r="E954" s="1"/>
      <c r="F954" s="1"/>
      <c r="G954" s="1"/>
      <c r="H954" s="1"/>
      <c r="I954" s="1"/>
      <c r="J954" s="1"/>
      <c r="K954" s="1"/>
      <c r="L954" s="1"/>
      <c r="M954" s="1"/>
      <c r="N954" s="1"/>
      <c r="O954" s="1"/>
      <c r="P954" s="1"/>
      <c r="Q954" s="1"/>
      <c r="R954" s="1"/>
      <c r="S954" s="1"/>
      <c r="T954" s="1"/>
      <c r="U954" s="1"/>
    </row>
    <row r="955" ht="15.75" customHeight="1">
      <c r="A955" s="1"/>
      <c r="B955" s="1"/>
      <c r="C955" s="1"/>
      <c r="D955" s="2"/>
      <c r="E955" s="1"/>
      <c r="F955" s="1"/>
      <c r="G955" s="1"/>
      <c r="H955" s="1"/>
      <c r="I955" s="1"/>
      <c r="J955" s="1"/>
      <c r="K955" s="1"/>
      <c r="L955" s="1"/>
      <c r="M955" s="1"/>
      <c r="N955" s="1"/>
      <c r="O955" s="1"/>
      <c r="P955" s="1"/>
      <c r="Q955" s="1"/>
      <c r="R955" s="1"/>
      <c r="S955" s="1"/>
      <c r="T955" s="1"/>
      <c r="U955" s="1"/>
    </row>
    <row r="956" ht="15.75" customHeight="1">
      <c r="A956" s="1"/>
      <c r="B956" s="1"/>
      <c r="C956" s="1"/>
      <c r="D956" s="2"/>
      <c r="E956" s="1"/>
      <c r="F956" s="1"/>
      <c r="G956" s="1"/>
      <c r="H956" s="1"/>
      <c r="I956" s="1"/>
      <c r="J956" s="1"/>
      <c r="K956" s="1"/>
      <c r="L956" s="1"/>
      <c r="M956" s="1"/>
      <c r="N956" s="1"/>
      <c r="O956" s="1"/>
      <c r="P956" s="1"/>
      <c r="Q956" s="1"/>
      <c r="R956" s="1"/>
      <c r="S956" s="1"/>
      <c r="T956" s="1"/>
      <c r="U956" s="1"/>
    </row>
    <row r="957" ht="15.75" customHeight="1">
      <c r="A957" s="1"/>
      <c r="B957" s="1"/>
      <c r="C957" s="1"/>
      <c r="D957" s="2"/>
      <c r="E957" s="1"/>
      <c r="F957" s="1"/>
      <c r="G957" s="1"/>
      <c r="H957" s="1"/>
      <c r="I957" s="1"/>
      <c r="J957" s="1"/>
      <c r="K957" s="1"/>
      <c r="L957" s="1"/>
      <c r="M957" s="1"/>
      <c r="N957" s="1"/>
      <c r="O957" s="1"/>
      <c r="P957" s="1"/>
      <c r="Q957" s="1"/>
      <c r="R957" s="1"/>
      <c r="S957" s="1"/>
      <c r="T957" s="1"/>
      <c r="U957" s="1"/>
    </row>
    <row r="958" ht="15.75" customHeight="1">
      <c r="A958" s="1"/>
      <c r="B958" s="1"/>
      <c r="C958" s="1"/>
      <c r="D958" s="2"/>
      <c r="E958" s="1"/>
      <c r="F958" s="1"/>
      <c r="G958" s="1"/>
      <c r="H958" s="1"/>
      <c r="I958" s="1"/>
      <c r="J958" s="1"/>
      <c r="K958" s="1"/>
      <c r="L958" s="1"/>
      <c r="M958" s="1"/>
      <c r="N958" s="1"/>
      <c r="O958" s="1"/>
      <c r="P958" s="1"/>
      <c r="Q958" s="1"/>
      <c r="R958" s="1"/>
      <c r="S958" s="1"/>
      <c r="T958" s="1"/>
      <c r="U958" s="1"/>
    </row>
    <row r="959" ht="15.75" customHeight="1">
      <c r="A959" s="1"/>
      <c r="B959" s="1"/>
      <c r="C959" s="1"/>
      <c r="D959" s="2"/>
      <c r="E959" s="1"/>
      <c r="F959" s="1"/>
      <c r="G959" s="1"/>
      <c r="H959" s="1"/>
      <c r="I959" s="1"/>
      <c r="J959" s="1"/>
      <c r="K959" s="1"/>
      <c r="L959" s="1"/>
      <c r="M959" s="1"/>
      <c r="N959" s="1"/>
      <c r="O959" s="1"/>
      <c r="P959" s="1"/>
      <c r="Q959" s="1"/>
      <c r="R959" s="1"/>
      <c r="S959" s="1"/>
      <c r="T959" s="1"/>
      <c r="U959" s="1"/>
    </row>
    <row r="960" ht="15.75" customHeight="1">
      <c r="A960" s="1"/>
      <c r="B960" s="1"/>
      <c r="C960" s="1"/>
      <c r="D960" s="2"/>
      <c r="E960" s="1"/>
      <c r="F960" s="1"/>
      <c r="G960" s="1"/>
      <c r="H960" s="1"/>
      <c r="I960" s="1"/>
      <c r="J960" s="1"/>
      <c r="K960" s="1"/>
      <c r="L960" s="1"/>
      <c r="M960" s="1"/>
      <c r="N960" s="1"/>
      <c r="O960" s="1"/>
      <c r="P960" s="1"/>
      <c r="Q960" s="1"/>
      <c r="R960" s="1"/>
      <c r="S960" s="1"/>
      <c r="T960" s="1"/>
      <c r="U960" s="1"/>
    </row>
    <row r="961" ht="15.75" customHeight="1">
      <c r="A961" s="1"/>
      <c r="B961" s="1"/>
      <c r="C961" s="1"/>
      <c r="D961" s="2"/>
      <c r="E961" s="1"/>
      <c r="F961" s="1"/>
      <c r="G961" s="1"/>
      <c r="H961" s="1"/>
      <c r="I961" s="1"/>
      <c r="J961" s="1"/>
      <c r="K961" s="1"/>
      <c r="L961" s="1"/>
      <c r="M961" s="1"/>
      <c r="N961" s="1"/>
      <c r="O961" s="1"/>
      <c r="P961" s="1"/>
      <c r="Q961" s="1"/>
      <c r="R961" s="1"/>
      <c r="S961" s="1"/>
      <c r="T961" s="1"/>
      <c r="U961" s="1"/>
    </row>
    <row r="962" ht="15.75" customHeight="1">
      <c r="A962" s="1"/>
      <c r="B962" s="1"/>
      <c r="C962" s="1"/>
      <c r="D962" s="2"/>
      <c r="E962" s="1"/>
      <c r="F962" s="1"/>
      <c r="G962" s="1"/>
      <c r="H962" s="1"/>
      <c r="I962" s="1"/>
      <c r="J962" s="1"/>
      <c r="K962" s="1"/>
      <c r="L962" s="1"/>
      <c r="M962" s="1"/>
      <c r="N962" s="1"/>
      <c r="O962" s="1"/>
      <c r="P962" s="1"/>
      <c r="Q962" s="1"/>
      <c r="R962" s="1"/>
      <c r="S962" s="1"/>
      <c r="T962" s="1"/>
      <c r="U962" s="1"/>
    </row>
    <row r="963" ht="15.75" customHeight="1">
      <c r="A963" s="1"/>
      <c r="B963" s="1"/>
      <c r="C963" s="1"/>
      <c r="D963" s="2"/>
      <c r="E963" s="1"/>
      <c r="F963" s="1"/>
      <c r="G963" s="1"/>
      <c r="H963" s="1"/>
      <c r="I963" s="1"/>
      <c r="J963" s="1"/>
      <c r="K963" s="1"/>
      <c r="L963" s="1"/>
      <c r="M963" s="1"/>
      <c r="N963" s="1"/>
      <c r="O963" s="1"/>
      <c r="P963" s="1"/>
      <c r="Q963" s="1"/>
      <c r="R963" s="1"/>
      <c r="S963" s="1"/>
      <c r="T963" s="1"/>
      <c r="U963" s="1"/>
    </row>
    <row r="964" ht="15.75" customHeight="1">
      <c r="A964" s="1"/>
      <c r="B964" s="1"/>
      <c r="C964" s="1"/>
      <c r="D964" s="2"/>
      <c r="E964" s="1"/>
      <c r="F964" s="1"/>
      <c r="G964" s="1"/>
      <c r="H964" s="1"/>
      <c r="I964" s="1"/>
      <c r="J964" s="1"/>
      <c r="K964" s="1"/>
      <c r="L964" s="1"/>
      <c r="M964" s="1"/>
      <c r="N964" s="1"/>
      <c r="O964" s="1"/>
      <c r="P964" s="1"/>
      <c r="Q964" s="1"/>
      <c r="R964" s="1"/>
      <c r="S964" s="1"/>
      <c r="T964" s="1"/>
      <c r="U964" s="1"/>
    </row>
    <row r="965" ht="15.75" customHeight="1">
      <c r="A965" s="1"/>
      <c r="B965" s="1"/>
      <c r="C965" s="1"/>
      <c r="D965" s="2"/>
      <c r="E965" s="1"/>
      <c r="F965" s="1"/>
      <c r="G965" s="1"/>
      <c r="H965" s="1"/>
      <c r="I965" s="1"/>
      <c r="J965" s="1"/>
      <c r="K965" s="1"/>
      <c r="L965" s="1"/>
      <c r="M965" s="1"/>
      <c r="N965" s="1"/>
      <c r="O965" s="1"/>
      <c r="P965" s="1"/>
      <c r="Q965" s="1"/>
      <c r="R965" s="1"/>
      <c r="S965" s="1"/>
      <c r="T965" s="1"/>
      <c r="U965" s="1"/>
    </row>
    <row r="966" ht="15.75" customHeight="1">
      <c r="A966" s="1"/>
      <c r="B966" s="1"/>
      <c r="C966" s="1"/>
      <c r="D966" s="2"/>
      <c r="E966" s="1"/>
      <c r="F966" s="1"/>
      <c r="G966" s="1"/>
      <c r="H966" s="1"/>
      <c r="I966" s="1"/>
      <c r="J966" s="1"/>
      <c r="K966" s="1"/>
      <c r="L966" s="1"/>
      <c r="M966" s="1"/>
      <c r="N966" s="1"/>
      <c r="O966" s="1"/>
      <c r="P966" s="1"/>
      <c r="Q966" s="1"/>
      <c r="R966" s="1"/>
      <c r="S966" s="1"/>
      <c r="T966" s="1"/>
      <c r="U966" s="1"/>
    </row>
    <row r="967" ht="15.75" customHeight="1">
      <c r="A967" s="1"/>
      <c r="B967" s="1"/>
      <c r="C967" s="1"/>
      <c r="D967" s="2"/>
      <c r="E967" s="1"/>
      <c r="F967" s="1"/>
      <c r="G967" s="1"/>
      <c r="H967" s="1"/>
      <c r="I967" s="1"/>
      <c r="J967" s="1"/>
      <c r="K967" s="1"/>
      <c r="L967" s="1"/>
      <c r="M967" s="1"/>
      <c r="N967" s="1"/>
      <c r="O967" s="1"/>
      <c r="P967" s="1"/>
      <c r="Q967" s="1"/>
      <c r="R967" s="1"/>
      <c r="S967" s="1"/>
      <c r="T967" s="1"/>
      <c r="U967" s="1"/>
    </row>
    <row r="968" ht="15.75" customHeight="1">
      <c r="A968" s="1"/>
      <c r="B968" s="1"/>
      <c r="C968" s="1"/>
      <c r="D968" s="2"/>
      <c r="E968" s="1"/>
      <c r="F968" s="1"/>
      <c r="G968" s="1"/>
      <c r="H968" s="1"/>
      <c r="I968" s="1"/>
      <c r="J968" s="1"/>
      <c r="K968" s="1"/>
      <c r="L968" s="1"/>
      <c r="M968" s="1"/>
      <c r="N968" s="1"/>
      <c r="O968" s="1"/>
      <c r="P968" s="1"/>
      <c r="Q968" s="1"/>
      <c r="R968" s="1"/>
      <c r="S968" s="1"/>
      <c r="T968" s="1"/>
      <c r="U968" s="1"/>
    </row>
    <row r="969" ht="15.75" customHeight="1">
      <c r="A969" s="1"/>
      <c r="B969" s="1"/>
      <c r="C969" s="1"/>
      <c r="D969" s="2"/>
      <c r="E969" s="1"/>
      <c r="F969" s="1"/>
      <c r="G969" s="1"/>
      <c r="H969" s="1"/>
      <c r="I969" s="1"/>
      <c r="J969" s="1"/>
      <c r="K969" s="1"/>
      <c r="L969" s="1"/>
      <c r="M969" s="1"/>
      <c r="N969" s="1"/>
      <c r="O969" s="1"/>
      <c r="P969" s="1"/>
      <c r="Q969" s="1"/>
      <c r="R969" s="1"/>
      <c r="S969" s="1"/>
      <c r="T969" s="1"/>
      <c r="U969" s="1"/>
    </row>
    <row r="970" ht="15.75" customHeight="1">
      <c r="A970" s="1"/>
      <c r="B970" s="1"/>
      <c r="C970" s="1"/>
      <c r="D970" s="2"/>
      <c r="E970" s="1"/>
      <c r="F970" s="1"/>
      <c r="G970" s="1"/>
      <c r="H970" s="1"/>
      <c r="I970" s="1"/>
      <c r="J970" s="1"/>
      <c r="K970" s="1"/>
      <c r="L970" s="1"/>
      <c r="M970" s="1"/>
      <c r="N970" s="1"/>
      <c r="O970" s="1"/>
      <c r="P970" s="1"/>
      <c r="Q970" s="1"/>
      <c r="R970" s="1"/>
      <c r="S970" s="1"/>
      <c r="T970" s="1"/>
      <c r="U970" s="1"/>
    </row>
    <row r="971" ht="15.75" customHeight="1">
      <c r="A971" s="1"/>
      <c r="B971" s="1"/>
      <c r="C971" s="1"/>
      <c r="D971" s="2"/>
      <c r="E971" s="1"/>
      <c r="F971" s="1"/>
      <c r="G971" s="1"/>
      <c r="H971" s="1"/>
      <c r="I971" s="1"/>
      <c r="J971" s="1"/>
      <c r="K971" s="1"/>
      <c r="L971" s="1"/>
      <c r="M971" s="1"/>
      <c r="N971" s="1"/>
      <c r="O971" s="1"/>
      <c r="P971" s="1"/>
      <c r="Q971" s="1"/>
      <c r="R971" s="1"/>
      <c r="S971" s="1"/>
      <c r="T971" s="1"/>
      <c r="U971" s="1"/>
    </row>
    <row r="972" ht="15.75" customHeight="1">
      <c r="A972" s="1"/>
      <c r="B972" s="1"/>
      <c r="C972" s="1"/>
      <c r="D972" s="2"/>
      <c r="E972" s="1"/>
      <c r="F972" s="1"/>
      <c r="G972" s="1"/>
      <c r="H972" s="1"/>
      <c r="I972" s="1"/>
      <c r="J972" s="1"/>
      <c r="K972" s="1"/>
      <c r="L972" s="1"/>
      <c r="M972" s="1"/>
      <c r="N972" s="1"/>
      <c r="O972" s="1"/>
      <c r="P972" s="1"/>
      <c r="Q972" s="1"/>
      <c r="R972" s="1"/>
      <c r="S972" s="1"/>
      <c r="T972" s="1"/>
      <c r="U972" s="1"/>
    </row>
    <row r="973" ht="15.75" customHeight="1">
      <c r="A973" s="1"/>
      <c r="B973" s="1"/>
      <c r="C973" s="1"/>
      <c r="D973" s="2"/>
      <c r="E973" s="1"/>
      <c r="F973" s="1"/>
      <c r="G973" s="1"/>
      <c r="H973" s="1"/>
      <c r="I973" s="1"/>
      <c r="J973" s="1"/>
      <c r="K973" s="1"/>
      <c r="L973" s="1"/>
      <c r="M973" s="1"/>
      <c r="N973" s="1"/>
      <c r="O973" s="1"/>
      <c r="P973" s="1"/>
      <c r="Q973" s="1"/>
      <c r="R973" s="1"/>
      <c r="S973" s="1"/>
      <c r="T973" s="1"/>
      <c r="U973" s="1"/>
    </row>
    <row r="974" ht="15.75" customHeight="1">
      <c r="A974" s="1"/>
      <c r="B974" s="1"/>
      <c r="C974" s="1"/>
      <c r="D974" s="2"/>
      <c r="E974" s="1"/>
      <c r="F974" s="1"/>
      <c r="G974" s="1"/>
      <c r="H974" s="1"/>
      <c r="I974" s="1"/>
      <c r="J974" s="1"/>
      <c r="K974" s="1"/>
      <c r="L974" s="1"/>
      <c r="M974" s="1"/>
      <c r="N974" s="1"/>
      <c r="O974" s="1"/>
      <c r="P974" s="1"/>
      <c r="Q974" s="1"/>
      <c r="R974" s="1"/>
      <c r="S974" s="1"/>
      <c r="T974" s="1"/>
      <c r="U974" s="1"/>
    </row>
    <row r="975" ht="15.75" customHeight="1">
      <c r="A975" s="1"/>
      <c r="B975" s="1"/>
      <c r="C975" s="1"/>
      <c r="D975" s="2"/>
      <c r="E975" s="1"/>
      <c r="F975" s="1"/>
      <c r="G975" s="1"/>
      <c r="H975" s="1"/>
      <c r="I975" s="1"/>
      <c r="J975" s="1"/>
      <c r="K975" s="1"/>
      <c r="L975" s="1"/>
      <c r="M975" s="1"/>
      <c r="N975" s="1"/>
      <c r="O975" s="1"/>
      <c r="P975" s="1"/>
      <c r="Q975" s="1"/>
      <c r="R975" s="1"/>
      <c r="S975" s="1"/>
      <c r="T975" s="1"/>
      <c r="U975" s="1"/>
    </row>
    <row r="976" ht="15.75" customHeight="1">
      <c r="A976" s="1"/>
      <c r="B976" s="1"/>
      <c r="C976" s="1"/>
      <c r="D976" s="2"/>
      <c r="E976" s="1"/>
      <c r="F976" s="1"/>
      <c r="G976" s="1"/>
      <c r="H976" s="1"/>
      <c r="I976" s="1"/>
      <c r="J976" s="1"/>
      <c r="K976" s="1"/>
      <c r="L976" s="1"/>
      <c r="M976" s="1"/>
      <c r="N976" s="1"/>
      <c r="O976" s="1"/>
      <c r="P976" s="1"/>
      <c r="Q976" s="1"/>
      <c r="R976" s="1"/>
      <c r="S976" s="1"/>
      <c r="T976" s="1"/>
      <c r="U976" s="1"/>
    </row>
    <row r="977" ht="15.75" customHeight="1">
      <c r="A977" s="1"/>
      <c r="B977" s="1"/>
      <c r="C977" s="1"/>
      <c r="D977" s="2"/>
      <c r="E977" s="1"/>
      <c r="F977" s="1"/>
      <c r="G977" s="1"/>
      <c r="H977" s="1"/>
      <c r="I977" s="1"/>
      <c r="J977" s="1"/>
      <c r="K977" s="1"/>
      <c r="L977" s="1"/>
      <c r="M977" s="1"/>
      <c r="N977" s="1"/>
      <c r="O977" s="1"/>
      <c r="P977" s="1"/>
      <c r="Q977" s="1"/>
      <c r="R977" s="1"/>
      <c r="S977" s="1"/>
      <c r="T977" s="1"/>
      <c r="U977" s="1"/>
    </row>
    <row r="978" ht="15.75" customHeight="1">
      <c r="A978" s="1"/>
      <c r="B978" s="1"/>
      <c r="C978" s="1"/>
      <c r="D978" s="2"/>
      <c r="E978" s="1"/>
      <c r="F978" s="1"/>
      <c r="G978" s="1"/>
      <c r="H978" s="1"/>
      <c r="I978" s="1"/>
      <c r="J978" s="1"/>
      <c r="K978" s="1"/>
      <c r="L978" s="1"/>
      <c r="M978" s="1"/>
      <c r="N978" s="1"/>
      <c r="O978" s="1"/>
      <c r="P978" s="1"/>
      <c r="Q978" s="1"/>
      <c r="R978" s="1"/>
      <c r="S978" s="1"/>
      <c r="T978" s="1"/>
      <c r="U978" s="1"/>
    </row>
    <row r="979" ht="15.75" customHeight="1">
      <c r="A979" s="1"/>
      <c r="B979" s="1"/>
      <c r="C979" s="1"/>
      <c r="D979" s="2"/>
      <c r="E979" s="1"/>
      <c r="F979" s="1"/>
      <c r="G979" s="1"/>
      <c r="H979" s="1"/>
      <c r="I979" s="1"/>
      <c r="J979" s="1"/>
      <c r="K979" s="1"/>
      <c r="L979" s="1"/>
      <c r="M979" s="1"/>
      <c r="N979" s="1"/>
      <c r="O979" s="1"/>
      <c r="P979" s="1"/>
      <c r="Q979" s="1"/>
      <c r="R979" s="1"/>
      <c r="S979" s="1"/>
      <c r="T979" s="1"/>
      <c r="U979" s="1"/>
    </row>
    <row r="980" ht="15.75" customHeight="1">
      <c r="A980" s="1"/>
      <c r="B980" s="1"/>
      <c r="C980" s="1"/>
      <c r="D980" s="2"/>
      <c r="E980" s="1"/>
      <c r="F980" s="1"/>
      <c r="G980" s="1"/>
      <c r="H980" s="1"/>
      <c r="I980" s="1"/>
      <c r="J980" s="1"/>
      <c r="K980" s="1"/>
      <c r="L980" s="1"/>
      <c r="M980" s="1"/>
      <c r="N980" s="1"/>
      <c r="O980" s="1"/>
      <c r="P980" s="1"/>
      <c r="Q980" s="1"/>
      <c r="R980" s="1"/>
      <c r="S980" s="1"/>
      <c r="T980" s="1"/>
      <c r="U980" s="1"/>
    </row>
    <row r="981" ht="15.75" customHeight="1">
      <c r="A981" s="1"/>
      <c r="B981" s="1"/>
      <c r="C981" s="1"/>
      <c r="D981" s="2"/>
      <c r="E981" s="1"/>
      <c r="F981" s="1"/>
      <c r="G981" s="1"/>
      <c r="H981" s="1"/>
      <c r="I981" s="1"/>
      <c r="J981" s="1"/>
      <c r="K981" s="1"/>
      <c r="L981" s="1"/>
      <c r="M981" s="1"/>
      <c r="N981" s="1"/>
      <c r="O981" s="1"/>
      <c r="P981" s="1"/>
      <c r="Q981" s="1"/>
      <c r="R981" s="1"/>
      <c r="S981" s="1"/>
      <c r="T981" s="1"/>
      <c r="U981" s="1"/>
    </row>
    <row r="982" ht="15.75" customHeight="1">
      <c r="A982" s="1"/>
      <c r="B982" s="1"/>
      <c r="C982" s="1"/>
      <c r="D982" s="2"/>
      <c r="E982" s="1"/>
      <c r="F982" s="1"/>
      <c r="G982" s="1"/>
      <c r="H982" s="1"/>
      <c r="I982" s="1"/>
      <c r="J982" s="1"/>
      <c r="K982" s="1"/>
      <c r="L982" s="1"/>
      <c r="M982" s="1"/>
      <c r="N982" s="1"/>
      <c r="O982" s="1"/>
      <c r="P982" s="1"/>
      <c r="Q982" s="1"/>
      <c r="R982" s="1"/>
      <c r="S982" s="1"/>
      <c r="T982" s="1"/>
      <c r="U982" s="1"/>
    </row>
    <row r="983" ht="15.75" customHeight="1">
      <c r="A983" s="1"/>
      <c r="B983" s="1"/>
      <c r="C983" s="1"/>
      <c r="D983" s="2"/>
      <c r="E983" s="1"/>
      <c r="F983" s="1"/>
      <c r="G983" s="1"/>
      <c r="H983" s="1"/>
      <c r="I983" s="1"/>
      <c r="J983" s="1"/>
      <c r="K983" s="1"/>
      <c r="L983" s="1"/>
      <c r="M983" s="1"/>
      <c r="N983" s="1"/>
      <c r="O983" s="1"/>
      <c r="P983" s="1"/>
      <c r="Q983" s="1"/>
      <c r="R983" s="1"/>
      <c r="S983" s="1"/>
      <c r="T983" s="1"/>
      <c r="U983" s="1"/>
    </row>
    <row r="984" ht="15.75" customHeight="1">
      <c r="A984" s="1"/>
      <c r="B984" s="1"/>
      <c r="C984" s="1"/>
      <c r="D984" s="2"/>
      <c r="E984" s="1"/>
      <c r="F984" s="1"/>
      <c r="G984" s="1"/>
      <c r="H984" s="1"/>
      <c r="I984" s="1"/>
      <c r="J984" s="1"/>
      <c r="K984" s="1"/>
      <c r="L984" s="1"/>
      <c r="M984" s="1"/>
      <c r="N984" s="1"/>
      <c r="O984" s="1"/>
      <c r="P984" s="1"/>
      <c r="Q984" s="1"/>
      <c r="R984" s="1"/>
      <c r="S984" s="1"/>
      <c r="T984" s="1"/>
      <c r="U984" s="1"/>
    </row>
    <row r="985" ht="15.75" customHeight="1">
      <c r="A985" s="1"/>
      <c r="B985" s="1"/>
      <c r="C985" s="1"/>
      <c r="D985" s="2"/>
      <c r="E985" s="1"/>
      <c r="F985" s="1"/>
      <c r="G985" s="1"/>
      <c r="H985" s="1"/>
      <c r="I985" s="1"/>
      <c r="J985" s="1"/>
      <c r="K985" s="1"/>
      <c r="L985" s="1"/>
      <c r="M985" s="1"/>
      <c r="N985" s="1"/>
      <c r="O985" s="1"/>
      <c r="P985" s="1"/>
      <c r="Q985" s="1"/>
      <c r="R985" s="1"/>
      <c r="S985" s="1"/>
      <c r="T985" s="1"/>
      <c r="U985" s="1"/>
    </row>
    <row r="986" ht="15.75" customHeight="1">
      <c r="A986" s="1"/>
      <c r="B986" s="1"/>
      <c r="C986" s="1"/>
      <c r="D986" s="2"/>
      <c r="E986" s="1"/>
      <c r="F986" s="1"/>
      <c r="G986" s="1"/>
      <c r="H986" s="1"/>
      <c r="I986" s="1"/>
      <c r="J986" s="1"/>
      <c r="K986" s="1"/>
      <c r="L986" s="1"/>
      <c r="M986" s="1"/>
      <c r="N986" s="1"/>
      <c r="O986" s="1"/>
      <c r="P986" s="1"/>
      <c r="Q986" s="1"/>
      <c r="R986" s="1"/>
      <c r="S986" s="1"/>
      <c r="T986" s="1"/>
      <c r="U986" s="1"/>
    </row>
    <row r="987" ht="15.75" customHeight="1">
      <c r="A987" s="1"/>
      <c r="B987" s="1"/>
      <c r="C987" s="1"/>
      <c r="D987" s="2"/>
      <c r="E987" s="1"/>
      <c r="F987" s="1"/>
      <c r="G987" s="1"/>
      <c r="H987" s="1"/>
      <c r="I987" s="1"/>
      <c r="J987" s="1"/>
      <c r="K987" s="1"/>
      <c r="L987" s="1"/>
      <c r="M987" s="1"/>
      <c r="N987" s="1"/>
      <c r="O987" s="1"/>
      <c r="P987" s="1"/>
      <c r="Q987" s="1"/>
      <c r="R987" s="1"/>
      <c r="S987" s="1"/>
      <c r="T987" s="1"/>
      <c r="U987" s="1"/>
    </row>
    <row r="988" ht="15.75" customHeight="1">
      <c r="A988" s="1"/>
      <c r="B988" s="1"/>
      <c r="C988" s="1"/>
      <c r="D988" s="2"/>
      <c r="E988" s="1"/>
      <c r="F988" s="1"/>
      <c r="G988" s="1"/>
      <c r="H988" s="1"/>
      <c r="I988" s="1"/>
      <c r="J988" s="1"/>
      <c r="K988" s="1"/>
      <c r="L988" s="1"/>
      <c r="M988" s="1"/>
      <c r="N988" s="1"/>
      <c r="O988" s="1"/>
      <c r="P988" s="1"/>
      <c r="Q988" s="1"/>
      <c r="R988" s="1"/>
      <c r="S988" s="1"/>
      <c r="T988" s="1"/>
      <c r="U988" s="1"/>
    </row>
    <row r="989" ht="15.75" customHeight="1">
      <c r="A989" s="1"/>
      <c r="B989" s="1"/>
      <c r="C989" s="1"/>
      <c r="D989" s="2"/>
      <c r="E989" s="1"/>
      <c r="F989" s="1"/>
      <c r="G989" s="1"/>
      <c r="H989" s="1"/>
      <c r="I989" s="1"/>
      <c r="J989" s="1"/>
      <c r="K989" s="1"/>
      <c r="L989" s="1"/>
      <c r="M989" s="1"/>
      <c r="N989" s="1"/>
      <c r="O989" s="1"/>
      <c r="P989" s="1"/>
      <c r="Q989" s="1"/>
      <c r="R989" s="1"/>
      <c r="S989" s="1"/>
      <c r="T989" s="1"/>
      <c r="U989" s="1"/>
    </row>
    <row r="990" ht="15.75" customHeight="1">
      <c r="A990" s="1"/>
      <c r="B990" s="1"/>
      <c r="C990" s="1"/>
      <c r="D990" s="2"/>
      <c r="E990" s="1"/>
      <c r="F990" s="1"/>
      <c r="G990" s="1"/>
      <c r="H990" s="1"/>
      <c r="I990" s="1"/>
      <c r="J990" s="1"/>
      <c r="K990" s="1"/>
      <c r="L990" s="1"/>
      <c r="M990" s="1"/>
      <c r="N990" s="1"/>
      <c r="O990" s="1"/>
      <c r="P990" s="1"/>
      <c r="Q990" s="1"/>
      <c r="R990" s="1"/>
      <c r="S990" s="1"/>
      <c r="T990" s="1"/>
      <c r="U990" s="1"/>
    </row>
    <row r="991" ht="15.75" customHeight="1">
      <c r="A991" s="1"/>
      <c r="B991" s="1"/>
      <c r="C991" s="1"/>
      <c r="D991" s="2"/>
      <c r="E991" s="1"/>
      <c r="F991" s="1"/>
      <c r="G991" s="1"/>
      <c r="H991" s="1"/>
      <c r="I991" s="1"/>
      <c r="J991" s="1"/>
      <c r="K991" s="1"/>
      <c r="L991" s="1"/>
      <c r="M991" s="1"/>
      <c r="N991" s="1"/>
      <c r="O991" s="1"/>
      <c r="P991" s="1"/>
      <c r="Q991" s="1"/>
      <c r="R991" s="1"/>
      <c r="S991" s="1"/>
      <c r="T991" s="1"/>
      <c r="U991" s="1"/>
    </row>
    <row r="992" ht="15.75" customHeight="1">
      <c r="A992" s="1"/>
      <c r="B992" s="1"/>
      <c r="C992" s="1"/>
      <c r="D992" s="2"/>
      <c r="E992" s="1"/>
      <c r="F992" s="1"/>
      <c r="G992" s="1"/>
      <c r="H992" s="1"/>
      <c r="I992" s="1"/>
      <c r="J992" s="1"/>
      <c r="K992" s="1"/>
      <c r="L992" s="1"/>
      <c r="M992" s="1"/>
      <c r="N992" s="1"/>
      <c r="O992" s="1"/>
      <c r="P992" s="1"/>
      <c r="Q992" s="1"/>
      <c r="R992" s="1"/>
      <c r="S992" s="1"/>
      <c r="T992" s="1"/>
      <c r="U992" s="1"/>
    </row>
    <row r="993" ht="15.75" customHeight="1">
      <c r="A993" s="1"/>
      <c r="B993" s="1"/>
      <c r="C993" s="1"/>
      <c r="D993" s="2"/>
      <c r="E993" s="1"/>
      <c r="F993" s="1"/>
      <c r="G993" s="1"/>
      <c r="H993" s="1"/>
      <c r="I993" s="1"/>
      <c r="J993" s="1"/>
      <c r="K993" s="1"/>
      <c r="L993" s="1"/>
      <c r="M993" s="1"/>
      <c r="N993" s="1"/>
      <c r="O993" s="1"/>
      <c r="P993" s="1"/>
      <c r="Q993" s="1"/>
      <c r="R993" s="1"/>
      <c r="S993" s="1"/>
      <c r="T993" s="1"/>
      <c r="U993" s="1"/>
    </row>
    <row r="994" ht="15.75" customHeight="1">
      <c r="A994" s="1"/>
      <c r="B994" s="1"/>
      <c r="C994" s="1"/>
      <c r="D994" s="2"/>
      <c r="E994" s="1"/>
      <c r="F994" s="1"/>
      <c r="G994" s="1"/>
      <c r="H994" s="1"/>
      <c r="I994" s="1"/>
      <c r="J994" s="1"/>
      <c r="K994" s="1"/>
      <c r="L994" s="1"/>
      <c r="M994" s="1"/>
      <c r="N994" s="1"/>
      <c r="O994" s="1"/>
      <c r="P994" s="1"/>
      <c r="Q994" s="1"/>
      <c r="R994" s="1"/>
      <c r="S994" s="1"/>
      <c r="T994" s="1"/>
      <c r="U994" s="1"/>
    </row>
    <row r="995" ht="15.75" customHeight="1">
      <c r="A995" s="1"/>
      <c r="B995" s="1"/>
      <c r="C995" s="1"/>
      <c r="D995" s="2"/>
      <c r="E995" s="1"/>
      <c r="F995" s="1"/>
      <c r="G995" s="1"/>
      <c r="H995" s="1"/>
      <c r="I995" s="1"/>
      <c r="J995" s="1"/>
      <c r="K995" s="1"/>
      <c r="L995" s="1"/>
      <c r="M995" s="1"/>
      <c r="N995" s="1"/>
      <c r="O995" s="1"/>
      <c r="P995" s="1"/>
      <c r="Q995" s="1"/>
      <c r="R995" s="1"/>
      <c r="S995" s="1"/>
      <c r="T995" s="1"/>
      <c r="U995" s="1"/>
    </row>
    <row r="996" ht="15.75" customHeight="1">
      <c r="A996" s="1"/>
      <c r="B996" s="1"/>
      <c r="C996" s="1"/>
      <c r="D996" s="2"/>
      <c r="E996" s="1"/>
      <c r="F996" s="1"/>
      <c r="G996" s="1"/>
      <c r="H996" s="1"/>
      <c r="I996" s="1"/>
      <c r="J996" s="1"/>
      <c r="K996" s="1"/>
      <c r="L996" s="1"/>
      <c r="M996" s="1"/>
      <c r="N996" s="1"/>
      <c r="O996" s="1"/>
      <c r="P996" s="1"/>
      <c r="Q996" s="1"/>
      <c r="R996" s="1"/>
      <c r="S996" s="1"/>
      <c r="T996" s="1"/>
      <c r="U996" s="1"/>
    </row>
    <row r="997" ht="15.75" customHeight="1">
      <c r="A997" s="1"/>
      <c r="B997" s="1"/>
      <c r="C997" s="1"/>
      <c r="D997" s="2"/>
      <c r="E997" s="1"/>
      <c r="F997" s="1"/>
      <c r="G997" s="1"/>
      <c r="H997" s="1"/>
      <c r="I997" s="1"/>
      <c r="J997" s="1"/>
      <c r="K997" s="1"/>
      <c r="L997" s="1"/>
      <c r="M997" s="1"/>
      <c r="N997" s="1"/>
      <c r="O997" s="1"/>
      <c r="P997" s="1"/>
      <c r="Q997" s="1"/>
      <c r="R997" s="1"/>
      <c r="S997" s="1"/>
      <c r="T997" s="1"/>
      <c r="U997" s="1"/>
    </row>
    <row r="998" ht="15.75" customHeight="1">
      <c r="A998" s="1"/>
      <c r="B998" s="1"/>
      <c r="C998" s="1"/>
      <c r="D998" s="2"/>
      <c r="E998" s="1"/>
      <c r="F998" s="1"/>
      <c r="G998" s="1"/>
      <c r="H998" s="1"/>
      <c r="I998" s="1"/>
      <c r="J998" s="1"/>
      <c r="K998" s="1"/>
      <c r="L998" s="1"/>
      <c r="M998" s="1"/>
      <c r="N998" s="1"/>
      <c r="O998" s="1"/>
      <c r="P998" s="1"/>
      <c r="Q998" s="1"/>
      <c r="R998" s="1"/>
      <c r="S998" s="1"/>
      <c r="T998" s="1"/>
      <c r="U998" s="1"/>
    </row>
    <row r="999" ht="15.75" customHeight="1">
      <c r="A999" s="1"/>
      <c r="B999" s="1"/>
      <c r="C999" s="1"/>
      <c r="D999" s="2"/>
      <c r="E999" s="1"/>
      <c r="F999" s="1"/>
      <c r="G999" s="1"/>
      <c r="H999" s="1"/>
      <c r="I999" s="1"/>
      <c r="J999" s="1"/>
      <c r="K999" s="1"/>
      <c r="L999" s="1"/>
      <c r="M999" s="1"/>
      <c r="N999" s="1"/>
      <c r="O999" s="1"/>
      <c r="P999" s="1"/>
      <c r="Q999" s="1"/>
      <c r="R999" s="1"/>
      <c r="S999" s="1"/>
      <c r="T999" s="1"/>
      <c r="U999" s="1"/>
    </row>
    <row r="1000" ht="15.75" customHeight="1">
      <c r="A1000" s="1"/>
      <c r="B1000" s="1"/>
      <c r="C1000" s="1"/>
      <c r="D1000" s="2"/>
      <c r="E1000" s="1"/>
      <c r="F1000" s="1"/>
      <c r="G1000" s="1"/>
      <c r="H1000" s="1"/>
      <c r="I1000" s="1"/>
      <c r="J1000" s="1"/>
      <c r="K1000" s="1"/>
      <c r="L1000" s="1"/>
      <c r="M1000" s="1"/>
      <c r="N1000" s="1"/>
      <c r="O1000" s="1"/>
      <c r="P1000" s="1"/>
      <c r="Q1000" s="1"/>
      <c r="R1000" s="1"/>
      <c r="S1000" s="1"/>
      <c r="T1000" s="1"/>
      <c r="U1000" s="1"/>
    </row>
    <row r="1001" ht="15.75" customHeight="1">
      <c r="A1001" s="1"/>
      <c r="B1001" s="1"/>
      <c r="C1001" s="1"/>
      <c r="D1001" s="2"/>
      <c r="E1001" s="1"/>
      <c r="F1001" s="1"/>
      <c r="G1001" s="1"/>
      <c r="H1001" s="1"/>
      <c r="I1001" s="1"/>
      <c r="J1001" s="1"/>
      <c r="K1001" s="1"/>
      <c r="L1001" s="1"/>
      <c r="M1001" s="1"/>
      <c r="N1001" s="1"/>
      <c r="O1001" s="1"/>
      <c r="P1001" s="1"/>
      <c r="Q1001" s="1"/>
      <c r="R1001" s="1"/>
      <c r="S1001" s="1"/>
      <c r="T1001" s="1"/>
      <c r="U1001" s="1"/>
    </row>
    <row r="1002" ht="15.75" customHeight="1">
      <c r="A1002" s="1"/>
      <c r="B1002" s="1"/>
      <c r="C1002" s="1"/>
      <c r="D1002" s="2"/>
      <c r="E1002" s="1"/>
      <c r="F1002" s="1"/>
      <c r="G1002" s="1"/>
      <c r="H1002" s="1"/>
      <c r="I1002" s="1"/>
      <c r="J1002" s="1"/>
      <c r="K1002" s="1"/>
      <c r="L1002" s="1"/>
      <c r="M1002" s="1"/>
      <c r="N1002" s="1"/>
      <c r="O1002" s="1"/>
      <c r="P1002" s="1"/>
      <c r="Q1002" s="1"/>
      <c r="R1002" s="1"/>
      <c r="S1002" s="1"/>
      <c r="T1002" s="1"/>
      <c r="U1002" s="1"/>
    </row>
    <row r="1003" ht="15.75" customHeight="1">
      <c r="A1003" s="1"/>
      <c r="B1003" s="1"/>
      <c r="C1003" s="1"/>
      <c r="D1003" s="2"/>
      <c r="E1003" s="1"/>
      <c r="F1003" s="1"/>
      <c r="G1003" s="1"/>
      <c r="H1003" s="1"/>
      <c r="I1003" s="1"/>
      <c r="J1003" s="1"/>
      <c r="K1003" s="1"/>
      <c r="L1003" s="1"/>
      <c r="M1003" s="1"/>
      <c r="N1003" s="1"/>
      <c r="O1003" s="1"/>
      <c r="P1003" s="1"/>
      <c r="Q1003" s="1"/>
      <c r="R1003" s="1"/>
      <c r="S1003" s="1"/>
      <c r="T1003" s="1"/>
      <c r="U1003" s="1"/>
    </row>
    <row r="1004" ht="15.75" customHeight="1">
      <c r="A1004" s="1"/>
      <c r="B1004" s="1"/>
      <c r="C1004" s="1"/>
      <c r="D1004" s="2"/>
      <c r="E1004" s="1"/>
      <c r="F1004" s="1"/>
      <c r="G1004" s="1"/>
      <c r="H1004" s="1"/>
      <c r="I1004" s="1"/>
      <c r="J1004" s="1"/>
      <c r="K1004" s="1"/>
      <c r="L1004" s="1"/>
      <c r="M1004" s="1"/>
      <c r="N1004" s="1"/>
      <c r="O1004" s="1"/>
      <c r="P1004" s="1"/>
      <c r="Q1004" s="1"/>
      <c r="R1004" s="1"/>
      <c r="S1004" s="1"/>
      <c r="T1004" s="1"/>
      <c r="U1004" s="1"/>
    </row>
    <row r="1005" ht="15.75" customHeight="1">
      <c r="A1005" s="1"/>
      <c r="B1005" s="1"/>
      <c r="C1005" s="1"/>
      <c r="D1005" s="2"/>
      <c r="E1005" s="1"/>
      <c r="F1005" s="1"/>
      <c r="G1005" s="1"/>
      <c r="H1005" s="1"/>
      <c r="I1005" s="1"/>
      <c r="J1005" s="1"/>
      <c r="K1005" s="1"/>
      <c r="L1005" s="1"/>
      <c r="M1005" s="1"/>
      <c r="N1005" s="1"/>
      <c r="O1005" s="1"/>
      <c r="P1005" s="1"/>
      <c r="Q1005" s="1"/>
      <c r="R1005" s="1"/>
      <c r="S1005" s="1"/>
      <c r="T1005" s="1"/>
      <c r="U1005" s="1"/>
    </row>
    <row r="1006" ht="15.75" customHeight="1">
      <c r="A1006" s="1"/>
      <c r="B1006" s="1"/>
      <c r="C1006" s="1"/>
      <c r="D1006" s="2"/>
      <c r="E1006" s="1"/>
      <c r="F1006" s="1"/>
      <c r="G1006" s="1"/>
      <c r="H1006" s="1"/>
      <c r="I1006" s="1"/>
      <c r="J1006" s="1"/>
      <c r="K1006" s="1"/>
      <c r="L1006" s="1"/>
      <c r="M1006" s="1"/>
      <c r="N1006" s="1"/>
      <c r="O1006" s="1"/>
      <c r="P1006" s="1"/>
      <c r="Q1006" s="1"/>
      <c r="R1006" s="1"/>
      <c r="S1006" s="1"/>
      <c r="T1006" s="1"/>
      <c r="U1006" s="1"/>
    </row>
    <row r="1007" ht="15.75" customHeight="1">
      <c r="A1007" s="1"/>
      <c r="B1007" s="1"/>
      <c r="C1007" s="1"/>
      <c r="D1007" s="2"/>
      <c r="E1007" s="1"/>
      <c r="F1007" s="1"/>
      <c r="G1007" s="1"/>
      <c r="H1007" s="1"/>
      <c r="I1007" s="1"/>
      <c r="J1007" s="1"/>
      <c r="K1007" s="1"/>
      <c r="L1007" s="1"/>
      <c r="M1007" s="1"/>
      <c r="N1007" s="1"/>
      <c r="O1007" s="1"/>
      <c r="P1007" s="1"/>
      <c r="Q1007" s="1"/>
      <c r="R1007" s="1"/>
      <c r="S1007" s="1"/>
      <c r="T1007" s="1"/>
      <c r="U1007" s="1"/>
    </row>
    <row r="1008" ht="15.75" customHeight="1">
      <c r="A1008" s="1"/>
      <c r="B1008" s="1"/>
      <c r="C1008" s="1"/>
      <c r="D1008" s="2"/>
      <c r="E1008" s="1"/>
      <c r="F1008" s="1"/>
      <c r="G1008" s="1"/>
      <c r="H1008" s="1"/>
      <c r="I1008" s="1"/>
      <c r="J1008" s="1"/>
      <c r="K1008" s="1"/>
      <c r="L1008" s="1"/>
      <c r="M1008" s="1"/>
      <c r="N1008" s="1"/>
      <c r="O1008" s="1"/>
      <c r="P1008" s="1"/>
      <c r="Q1008" s="1"/>
      <c r="R1008" s="1"/>
      <c r="S1008" s="1"/>
      <c r="T1008" s="1"/>
      <c r="U1008" s="1"/>
    </row>
    <row r="1009" ht="15.75" customHeight="1">
      <c r="A1009" s="1"/>
      <c r="B1009" s="1"/>
      <c r="C1009" s="1"/>
      <c r="D1009" s="2"/>
      <c r="E1009" s="1"/>
      <c r="F1009" s="1"/>
      <c r="G1009" s="1"/>
      <c r="H1009" s="1"/>
      <c r="I1009" s="1"/>
      <c r="J1009" s="1"/>
      <c r="K1009" s="1"/>
      <c r="L1009" s="1"/>
      <c r="M1009" s="1"/>
      <c r="N1009" s="1"/>
      <c r="O1009" s="1"/>
      <c r="P1009" s="1"/>
      <c r="Q1009" s="1"/>
      <c r="R1009" s="1"/>
      <c r="S1009" s="1"/>
      <c r="T1009" s="1"/>
      <c r="U1009" s="1"/>
    </row>
    <row r="1010" ht="15.75" customHeight="1">
      <c r="A1010" s="1"/>
      <c r="B1010" s="1"/>
      <c r="C1010" s="1"/>
      <c r="D1010" s="2"/>
      <c r="E1010" s="1"/>
      <c r="F1010" s="1"/>
      <c r="G1010" s="1"/>
      <c r="H1010" s="1"/>
      <c r="I1010" s="1"/>
      <c r="J1010" s="1"/>
      <c r="K1010" s="1"/>
      <c r="L1010" s="1"/>
      <c r="M1010" s="1"/>
      <c r="N1010" s="1"/>
      <c r="O1010" s="1"/>
      <c r="P1010" s="1"/>
      <c r="Q1010" s="1"/>
      <c r="R1010" s="1"/>
      <c r="S1010" s="1"/>
      <c r="T1010" s="1"/>
      <c r="U1010" s="1"/>
    </row>
    <row r="1011" ht="15.75" customHeight="1">
      <c r="A1011" s="1"/>
      <c r="B1011" s="1"/>
      <c r="C1011" s="1"/>
      <c r="D1011" s="2"/>
      <c r="E1011" s="1"/>
      <c r="F1011" s="1"/>
      <c r="G1011" s="1"/>
      <c r="H1011" s="1"/>
      <c r="I1011" s="1"/>
      <c r="J1011" s="1"/>
      <c r="K1011" s="1"/>
      <c r="L1011" s="1"/>
      <c r="M1011" s="1"/>
      <c r="N1011" s="1"/>
      <c r="O1011" s="1"/>
      <c r="P1011" s="1"/>
      <c r="Q1011" s="1"/>
      <c r="R1011" s="1"/>
      <c r="S1011" s="1"/>
      <c r="T1011" s="1"/>
      <c r="U1011" s="1"/>
    </row>
    <row r="1012" ht="15.75" customHeight="1">
      <c r="A1012" s="1"/>
      <c r="B1012" s="1"/>
      <c r="C1012" s="1"/>
      <c r="D1012" s="2"/>
      <c r="E1012" s="1"/>
      <c r="F1012" s="1"/>
      <c r="G1012" s="1"/>
      <c r="H1012" s="1"/>
      <c r="I1012" s="1"/>
      <c r="J1012" s="1"/>
      <c r="K1012" s="1"/>
      <c r="L1012" s="1"/>
      <c r="M1012" s="1"/>
      <c r="N1012" s="1"/>
      <c r="O1012" s="1"/>
      <c r="P1012" s="1"/>
      <c r="Q1012" s="1"/>
      <c r="R1012" s="1"/>
      <c r="S1012" s="1"/>
      <c r="T1012" s="1"/>
      <c r="U1012" s="1"/>
    </row>
    <row r="1013" ht="15.75" customHeight="1">
      <c r="A1013" s="1"/>
      <c r="B1013" s="1"/>
      <c r="C1013" s="1"/>
      <c r="D1013" s="2"/>
      <c r="E1013" s="1"/>
      <c r="F1013" s="1"/>
      <c r="G1013" s="1"/>
      <c r="H1013" s="1"/>
      <c r="I1013" s="1"/>
      <c r="J1013" s="1"/>
      <c r="K1013" s="1"/>
      <c r="L1013" s="1"/>
      <c r="M1013" s="1"/>
      <c r="N1013" s="1"/>
      <c r="O1013" s="1"/>
      <c r="P1013" s="1"/>
      <c r="Q1013" s="1"/>
      <c r="R1013" s="1"/>
      <c r="S1013" s="1"/>
      <c r="T1013" s="1"/>
      <c r="U1013" s="1"/>
    </row>
    <row r="1014" ht="15.75" customHeight="1">
      <c r="A1014" s="1"/>
      <c r="B1014" s="1"/>
      <c r="C1014" s="1"/>
      <c r="D1014" s="2"/>
      <c r="E1014" s="1"/>
      <c r="F1014" s="1"/>
      <c r="G1014" s="1"/>
      <c r="H1014" s="1"/>
      <c r="I1014" s="1"/>
      <c r="J1014" s="1"/>
      <c r="K1014" s="1"/>
      <c r="L1014" s="1"/>
      <c r="M1014" s="1"/>
      <c r="N1014" s="1"/>
      <c r="O1014" s="1"/>
      <c r="P1014" s="1"/>
      <c r="Q1014" s="1"/>
      <c r="R1014" s="1"/>
      <c r="S1014" s="1"/>
      <c r="T1014" s="1"/>
      <c r="U1014" s="1"/>
    </row>
  </sheetData>
  <conditionalFormatting sqref="B8:J37 J40:J45">
    <cfRule type="expression" dxfId="4" priority="1" stopIfTrue="1">
      <formula>$B8="Gerente de Projetos"</formula>
    </cfRule>
  </conditionalFormatting>
  <conditionalFormatting sqref="B8:J37 J40:J45">
    <cfRule type="expression" dxfId="5" priority="2" stopIfTrue="1">
      <formula>$B8="Membro Operacional"</formula>
    </cfRule>
  </conditionalFormatting>
  <conditionalFormatting sqref="B8:J37 J40:J45">
    <cfRule type="expression" dxfId="6" priority="3" stopIfTrue="1">
      <formula>$B8="Assessora de Vendas"</formula>
    </cfRule>
  </conditionalFormatting>
  <conditionalFormatting sqref="B8:J37 J40:J45">
    <cfRule type="expression" dxfId="6" priority="4" stopIfTrue="1">
      <formula>$B8="Assesora de Vendas"</formula>
    </cfRule>
  </conditionalFormatting>
  <conditionalFormatting sqref="B8:J37 J40:J45">
    <cfRule type="expression" dxfId="7" priority="5" stopIfTrue="1">
      <formula>$B8="Assessora Gestão de Pessoas 1"</formula>
    </cfRule>
  </conditionalFormatting>
  <conditionalFormatting sqref="B8:J37 J40:J45">
    <cfRule type="expression" dxfId="8" priority="6" stopIfTrue="1">
      <formula>$B8="Líder técnico de conhecimento"</formula>
    </cfRule>
  </conditionalFormatting>
  <conditionalFormatting sqref="B8:J37 J40:J45">
    <cfRule type="expression" dxfId="9" priority="7" stopIfTrue="1">
      <formula>$B8="tech_lead_projetos"</formula>
    </cfRule>
  </conditionalFormatting>
  <conditionalFormatting sqref="B8:J37 J40:J45">
    <cfRule type="expression" dxfId="10" priority="8" stopIfTrue="1">
      <formula>$B8="Assessora Gestão de Pessoas 2"</formula>
    </cfRule>
  </conditionalFormatting>
  <dataValidations>
    <dataValidation type="list" allowBlank="1" sqref="F8:F114">
      <formula1>"Sim,Não"</formula1>
    </dataValidation>
    <dataValidation type="list" allowBlank="1" sqref="E8:E114">
      <formula1>"Excelente,Bom,Regular,Ruim"</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s>
  <sheetData>
    <row r="1" ht="6.75" customHeight="1"/>
    <row r="2">
      <c r="B2" s="56" t="s">
        <v>89</v>
      </c>
    </row>
    <row r="3">
      <c r="B3" s="57" t="s">
        <v>4</v>
      </c>
      <c r="C3" s="57" t="s">
        <v>90</v>
      </c>
      <c r="D3" s="57" t="s">
        <v>91</v>
      </c>
      <c r="E3" s="57" t="s">
        <v>92</v>
      </c>
      <c r="F3" s="57" t="s">
        <v>93</v>
      </c>
      <c r="G3" s="57" t="s">
        <v>94</v>
      </c>
    </row>
    <row r="4" ht="15.75" customHeight="1">
      <c r="B4" s="58" t="s">
        <v>95</v>
      </c>
      <c r="C4" s="59" t="s">
        <v>96</v>
      </c>
      <c r="D4" s="58">
        <v>4.0</v>
      </c>
      <c r="E4" s="58">
        <v>4.0</v>
      </c>
      <c r="F4" s="58">
        <v>4.0</v>
      </c>
      <c r="G4" s="60">
        <f t="shared" ref="G4:G9" si="1">IFERROR(AVERAGE(D4:F4),"")</f>
        <v>4</v>
      </c>
    </row>
    <row r="5" ht="15.75" customHeight="1">
      <c r="B5" s="61" t="s">
        <v>97</v>
      </c>
      <c r="C5" s="59" t="s">
        <v>98</v>
      </c>
      <c r="D5" s="58">
        <v>4.0</v>
      </c>
      <c r="E5" s="58">
        <v>4.0</v>
      </c>
      <c r="F5" s="58">
        <v>4.0</v>
      </c>
      <c r="G5" s="60">
        <f t="shared" si="1"/>
        <v>4</v>
      </c>
    </row>
    <row r="6" ht="15.75" customHeight="1">
      <c r="B6" s="61" t="s">
        <v>99</v>
      </c>
      <c r="C6" s="59" t="s">
        <v>100</v>
      </c>
      <c r="D6" s="58">
        <v>4.0</v>
      </c>
      <c r="E6" s="58">
        <v>4.0</v>
      </c>
      <c r="F6" s="58">
        <v>4.0</v>
      </c>
      <c r="G6" s="60">
        <f t="shared" si="1"/>
        <v>4</v>
      </c>
    </row>
    <row r="7" ht="15.75" customHeight="1">
      <c r="B7" s="61" t="s">
        <v>101</v>
      </c>
      <c r="C7" s="59" t="s">
        <v>102</v>
      </c>
      <c r="D7" s="58">
        <v>4.0</v>
      </c>
      <c r="E7" s="58">
        <v>4.0</v>
      </c>
      <c r="F7" s="58">
        <v>4.0</v>
      </c>
      <c r="G7" s="60">
        <f t="shared" si="1"/>
        <v>4</v>
      </c>
    </row>
    <row r="8" ht="15.75" customHeight="1">
      <c r="B8" s="61" t="s">
        <v>103</v>
      </c>
      <c r="C8" s="59" t="s">
        <v>104</v>
      </c>
      <c r="D8" s="58">
        <v>4.0</v>
      </c>
      <c r="E8" s="58">
        <v>4.0</v>
      </c>
      <c r="F8" s="58">
        <v>4.0</v>
      </c>
      <c r="G8" s="60">
        <f t="shared" si="1"/>
        <v>4</v>
      </c>
    </row>
    <row r="9" ht="15.75" customHeight="1">
      <c r="B9" s="61" t="s">
        <v>18</v>
      </c>
      <c r="C9" s="59" t="s">
        <v>105</v>
      </c>
      <c r="D9" s="58">
        <v>4.0</v>
      </c>
      <c r="E9" s="58">
        <v>4.0</v>
      </c>
      <c r="F9" s="58">
        <v>4.0</v>
      </c>
      <c r="G9" s="60">
        <f t="shared" si="1"/>
        <v>4</v>
      </c>
    </row>
    <row r="10" ht="15.75" customHeight="1">
      <c r="C10" s="62"/>
    </row>
    <row r="11" ht="15.75" customHeight="1">
      <c r="C11" s="62"/>
    </row>
    <row r="12" ht="15.75" customHeight="1">
      <c r="C12" s="62"/>
    </row>
    <row r="13" ht="15.75" customHeight="1">
      <c r="C13" s="62"/>
    </row>
    <row r="14" ht="15.75" customHeight="1">
      <c r="C14" s="62"/>
    </row>
    <row r="15" ht="15.75" customHeight="1">
      <c r="C15" s="62"/>
    </row>
    <row r="16" ht="15.75" customHeight="1">
      <c r="C16" s="62"/>
    </row>
    <row r="17" ht="15.75" customHeight="1">
      <c r="C17" s="62"/>
    </row>
    <row r="18" ht="15.75" customHeight="1">
      <c r="C18" s="62"/>
    </row>
    <row r="19" ht="15.75" customHeight="1">
      <c r="C19" s="62"/>
    </row>
    <row r="20" ht="15.75" customHeight="1">
      <c r="C20" s="62"/>
    </row>
    <row r="21" ht="15.75" customHeight="1">
      <c r="C21" s="62"/>
    </row>
    <row r="22" ht="15.75" customHeight="1">
      <c r="C22" s="62"/>
    </row>
    <row r="23" ht="15.75" customHeight="1">
      <c r="C23" s="62"/>
    </row>
    <row r="24" ht="15.75" customHeight="1">
      <c r="C24" s="62"/>
    </row>
    <row r="25" ht="15.75" customHeight="1">
      <c r="C25" s="62"/>
    </row>
    <row r="26" ht="15.75" customHeight="1">
      <c r="C26" s="62"/>
    </row>
    <row r="27" ht="15.75" customHeight="1">
      <c r="C27" s="62"/>
    </row>
    <row r="28" ht="15.75" customHeight="1">
      <c r="C28" s="62"/>
    </row>
    <row r="29" ht="15.75" customHeight="1">
      <c r="C29" s="62"/>
    </row>
    <row r="30" ht="15.75" customHeight="1">
      <c r="C30" s="62"/>
    </row>
  </sheetData>
  <dataValidations>
    <dataValidation type="list" allowBlank="1" showErrorMessage="1" sqref="D4:F9">
      <formula1>"1,2,3,4"</formula1>
    </dataValidation>
  </dataValidations>
  <drawing r:id="rId1"/>
  <tableParts count="1">
    <tablePart r:id="rId3"/>
  </tableParts>
</worksheet>
</file>